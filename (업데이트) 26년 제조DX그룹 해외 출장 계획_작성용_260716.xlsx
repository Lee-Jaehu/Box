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-120" windowWidth="38640" windowHeight="15720" tabRatio="600" firstSheet="0" activeTab="3" autoFilterDateGrouping="1"/>
  </bookViews>
  <sheets>
    <sheet xmlns:r="http://schemas.openxmlformats.org/officeDocument/2006/relationships" name="(신규) Summary" sheetId="1" state="visible" r:id="rId1"/>
    <sheet xmlns:r="http://schemas.openxmlformats.org/officeDocument/2006/relationships" name="집행(ERS)" sheetId="2" state="visible" r:id="rId2"/>
    <sheet xmlns:r="http://schemas.openxmlformats.org/officeDocument/2006/relationships" name="Raw(품의)" sheetId="3" state="visible" r:id="rId3"/>
    <sheet xmlns:r="http://schemas.openxmlformats.org/officeDocument/2006/relationships" name="26년 계획(품의전)" sheetId="4" state="visible" r:id="rId4"/>
    <sheet xmlns:r="http://schemas.openxmlformats.org/officeDocument/2006/relationships" name="참고.출장비 단가" sheetId="5" state="visible" r:id="rId5"/>
    <sheet xmlns:r="http://schemas.openxmlformats.org/officeDocument/2006/relationships" name="예산" sheetId="6" state="visible" r:id="rId6"/>
    <sheet xmlns:r="http://schemas.openxmlformats.org/officeDocument/2006/relationships" name="예상계획_로그" sheetId="7" state="visible" r:id="rId7"/>
    <sheet xmlns:r="http://schemas.openxmlformats.org/officeDocument/2006/relationships" name="품의출장_로그" sheetId="8" state="visible" r:id="rId8"/>
    <sheet xmlns:r="http://schemas.openxmlformats.org/officeDocument/2006/relationships" name="실집행_로그" sheetId="9" state="visible" r:id="rId9"/>
    <sheet xmlns:r="http://schemas.openxmlformats.org/officeDocument/2006/relationships" name="대시보드" sheetId="10" state="visible" r:id="rId10"/>
  </sheets>
  <externalReferences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</externalReferences>
  <definedNames>
    <definedName name="부문">'Raw(품의)'!$AF$1:$AF$4</definedName>
    <definedName name="부문" localSheetId="0">'[1]Raw(품의)'!$AF$1:$AF$4</definedName>
    <definedName name="부문" localSheetId="1">'[1]Raw(품의)'!$AF$1:$AF$4</definedName>
    <definedName name="_xlnm._FilterDatabase" localSheetId="1" hidden="1">'집행(ERS)'!$B$2:$K$94</definedName>
    <definedName name="_xlnm._FilterDatabase" localSheetId="2" hidden="1">'Raw(품의)'!$B$4:$AG$47</definedName>
    <definedName name="_xlnm._FilterDatabase" localSheetId="3" hidden="1">'26년 계획(품의전)'!$B$13:$C$56</definedName>
    <definedName name="부문" localSheetId="5">'[1]Raw(품의)'!$AF$1:$AF$4</definedName>
  </definedNames>
  <calcPr calcId="191028" fullCalcOnLoad="1"/>
</workbook>
</file>

<file path=xl/styles.xml><?xml version="1.0" encoding="utf-8"?>
<styleSheet xmlns="http://schemas.openxmlformats.org/spreadsheetml/2006/main">
  <numFmts count="10">
    <numFmt numFmtId="164" formatCode="_-* #,##0_-;\-* #,##0_-;_-* &quot;-&quot;_-;_-@_-"/>
    <numFmt numFmtId="165" formatCode="#,##0;&quot;△&quot;#,##0;\ &quot;- &quot;"/>
    <numFmt numFmtId="166" formatCode="0&quot;분기&quot;"/>
    <numFmt numFmtId="167" formatCode="#,##0\ ;\ \Δ#,##0\ ;\ \-\ "/>
    <numFmt numFmtId="168" formatCode="[=1]&quot;완료&quot;;[=2]&quot;처리 예정&quot;"/>
    <numFmt numFmtId="169" formatCode="_-&quot;₩&quot;* #,##0_-;\-&quot;₩&quot;* #,##0_-;_-&quot;₩&quot;* &quot;-&quot;_-;_-@_-"/>
    <numFmt numFmtId="170" formatCode="#,#00;[Red]\-\ #,#00"/>
    <numFmt numFmtId="171" formatCode="[=1]&quot;Y&quot;;[=2]&quot;N&quot;"/>
    <numFmt numFmtId="172" formatCode="yyyy-mm-dd"/>
    <numFmt numFmtId="173" formatCode="yyyy-mm-dd h:mm:ss"/>
  </numFmts>
  <fonts count="3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LG스마트체 Regular"/>
      <charset val="129"/>
      <family val="3"/>
      <color theme="1"/>
      <sz val="11"/>
    </font>
    <font>
      <name val="맑은 고딕"/>
      <charset val="129"/>
      <family val="2"/>
      <sz val="8"/>
      <scheme val="minor"/>
    </font>
    <font>
      <name val="돋움"/>
      <charset val="129"/>
      <family val="3"/>
      <sz val="11"/>
    </font>
    <font>
      <name val="LG스마트체 Regular"/>
      <charset val="129"/>
      <family val="3"/>
      <b val="1"/>
      <sz val="14"/>
    </font>
    <font>
      <name val="돋움"/>
      <charset val="129"/>
      <family val="3"/>
      <sz val="8"/>
    </font>
    <font>
      <name val="LG스마트체 Regular"/>
      <charset val="129"/>
      <family val="3"/>
      <b val="1"/>
      <color theme="1"/>
      <sz val="11"/>
    </font>
    <font>
      <name val="LG스마트체 Regular"/>
      <charset val="129"/>
      <family val="3"/>
      <b val="1"/>
      <color rgb="FFFF0000"/>
      <sz val="16"/>
    </font>
    <font>
      <name val="LG스마트체 Regular"/>
      <charset val="129"/>
      <family val="3"/>
      <b val="1"/>
      <color theme="0"/>
      <sz val="11"/>
    </font>
    <font>
      <name val="LG스마트체 Regular"/>
      <charset val="129"/>
      <family val="3"/>
      <sz val="11"/>
    </font>
    <font>
      <name val="LG스마트체 Regular"/>
      <charset val="129"/>
      <family val="3"/>
      <b val="1"/>
      <color rgb="FF0000FF"/>
      <sz val="10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Arial"/>
      <family val="2"/>
      <color rgb="FF1F1F1F"/>
      <sz val="11"/>
    </font>
    <font>
      <name val="맑은 고딕"/>
      <charset val="129"/>
      <family val="3"/>
      <color rgb="FF000000"/>
      <sz val="11"/>
      <scheme val="minor"/>
    </font>
    <font>
      <name val="Arial"/>
      <family val="2"/>
      <color rgb="FF000000"/>
      <sz val="10"/>
    </font>
    <font>
      <name val="Arial Narrow"/>
      <family val="2"/>
      <color theme="1"/>
      <sz val="11"/>
    </font>
    <font>
      <name val="맑은 고딕"/>
      <charset val="129"/>
      <family val="3"/>
      <color rgb="FF1F1F1F"/>
      <sz val="10"/>
      <scheme val="minor"/>
    </font>
    <font>
      <name val="돋움"/>
      <charset val="129"/>
      <family val="3"/>
      <b val="1"/>
      <color indexed="81"/>
      <sz val="9"/>
    </font>
    <font>
      <name val="Tahoma"/>
      <family val="2"/>
      <color indexed="81"/>
      <sz val="9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sz val="11"/>
      <scheme val="minor"/>
    </font>
    <font>
      <name val="Arial Narrow"/>
      <family val="2"/>
      <b val="1"/>
      <color theme="1"/>
      <sz val="11"/>
    </font>
    <font>
      <name val="맑은 고딕"/>
      <charset val="129"/>
      <family val="2"/>
      <b val="1"/>
      <color theme="1"/>
      <sz val="11"/>
    </font>
    <font>
      <name val="Arial Narrow"/>
      <charset val="129"/>
      <family val="2"/>
      <color theme="1"/>
      <sz val="11"/>
    </font>
    <font>
      <name val="LG스마트체 Regular"/>
      <charset val="129"/>
      <family val="3"/>
      <color rgb="FF0000FF"/>
      <sz val="11"/>
    </font>
    <font>
      <name val="LG스마트체 Regular"/>
      <family val="3"/>
      <sz val="11"/>
    </font>
    <font>
      <name val="Arial"/>
      <family val="2"/>
      <color rgb="FF1F1F1F"/>
      <sz val="10"/>
    </font>
    <font>
      <name val="Arial"/>
      <family val="2"/>
      <color rgb="FF555555"/>
      <sz val="10"/>
    </font>
    <font>
      <name val="LG스마트체 Regular"/>
      <charset val="129"/>
      <family val="3"/>
      <color rgb="FF000000"/>
      <sz val="11"/>
    </font>
  </fonts>
  <fills count="13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9" tint="0.7999816888943144"/>
        <bgColor theme="4" tint="0.799981688894314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1499984740745262"/>
        <bgColor theme="4" tint="0.799981688894314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rgb="FF000000"/>
      </patternFill>
    </fill>
  </fills>
  <borders count="7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7">
    <xf numFmtId="0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0" fontId="4" fillId="0" borderId="0"/>
    <xf numFmtId="0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</cellStyleXfs>
  <cellXfs count="397">
    <xf numFmtId="0" fontId="0" fillId="0" borderId="0" applyAlignment="1" pivotButton="0" quotePrefix="0" xfId="0">
      <alignment vertical="center"/>
    </xf>
    <xf numFmtId="164" fontId="2" fillId="2" borderId="0" applyAlignment="1" pivotButton="0" quotePrefix="0" xfId="2">
      <alignment horizontal="center" vertical="center"/>
    </xf>
    <xf numFmtId="164" fontId="2" fillId="2" borderId="0" applyAlignment="1" pivotButton="0" quotePrefix="0" xfId="2">
      <alignment horizontal="left" vertical="center"/>
    </xf>
    <xf numFmtId="0" fontId="2" fillId="2" borderId="0" applyAlignment="1" pivotButton="0" quotePrefix="0" xfId="0">
      <alignment vertical="center"/>
    </xf>
    <xf numFmtId="165" fontId="5" fillId="2" borderId="0" applyAlignment="1" pivotButton="0" quotePrefix="0" xfId="3">
      <alignment vertical="center"/>
    </xf>
    <xf numFmtId="164" fontId="2" fillId="2" borderId="1" applyAlignment="1" pivotButton="0" quotePrefix="0" xfId="2">
      <alignment vertical="center"/>
    </xf>
    <xf numFmtId="164" fontId="2" fillId="2" borderId="1" applyAlignment="1" pivotButton="0" quotePrefix="0" xfId="2">
      <alignment horizontal="center" vertical="center"/>
    </xf>
    <xf numFmtId="164" fontId="2" fillId="2" borderId="1" applyAlignment="1" pivotButton="0" quotePrefix="0" xfId="2">
      <alignment horizontal="left" vertical="center"/>
    </xf>
    <xf numFmtId="164" fontId="7" fillId="2" borderId="1" applyAlignment="1" pivotButton="0" quotePrefix="0" xfId="2">
      <alignment horizontal="center" vertical="center"/>
    </xf>
    <xf numFmtId="164" fontId="7" fillId="4" borderId="6" applyAlignment="1" pivotButton="0" quotePrefix="0" xfId="2">
      <alignment horizontal="center" vertical="center" wrapText="1"/>
    </xf>
    <xf numFmtId="164" fontId="7" fillId="4" borderId="7" applyAlignment="1" pivotButton="0" quotePrefix="0" xfId="2">
      <alignment horizontal="center" vertical="center"/>
    </xf>
    <xf numFmtId="164" fontId="7" fillId="6" borderId="6" applyAlignment="1" pivotButton="0" quotePrefix="0" xfId="2">
      <alignment horizontal="center" vertical="center"/>
    </xf>
    <xf numFmtId="164" fontId="2" fillId="2" borderId="2" applyAlignment="1" pivotButton="0" quotePrefix="0" xfId="2">
      <alignment horizontal="center" vertical="center"/>
    </xf>
    <xf numFmtId="166" fontId="2" fillId="2" borderId="0" applyAlignment="1" pivotButton="0" quotePrefix="0" xfId="2">
      <alignment horizontal="center" vertical="center"/>
    </xf>
    <xf numFmtId="0" fontId="2" fillId="0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7" fillId="7" borderId="2" applyAlignment="1" pivotButton="0" quotePrefix="0" xfId="0">
      <alignment horizontal="center" vertical="center"/>
    </xf>
    <xf numFmtId="0" fontId="2" fillId="9" borderId="9" applyAlignment="1" pivotButton="0" quotePrefix="0" xfId="0">
      <alignment vertical="center"/>
    </xf>
    <xf numFmtId="164" fontId="2" fillId="9" borderId="2" applyAlignment="1" pivotButton="0" quotePrefix="0" xfId="1">
      <alignment horizontal="right" vertical="center"/>
    </xf>
    <xf numFmtId="164" fontId="2" fillId="4" borderId="9" applyAlignment="1" pivotButton="0" quotePrefix="0" xfId="1">
      <alignment horizontal="right" vertical="center"/>
    </xf>
    <xf numFmtId="0" fontId="2" fillId="2" borderId="2" applyAlignment="1" pivotButton="0" quotePrefix="0" xfId="0">
      <alignment vertical="center"/>
    </xf>
    <xf numFmtId="164" fontId="2" fillId="2" borderId="2" applyAlignment="1" pivotButton="0" quotePrefix="0" xfId="1">
      <alignment horizontal="right" vertical="center"/>
    </xf>
    <xf numFmtId="164" fontId="2" fillId="0" borderId="2" applyAlignment="1" pivotButton="0" quotePrefix="0" xfId="1">
      <alignment horizontal="right" vertical="center"/>
    </xf>
    <xf numFmtId="0" fontId="2" fillId="3" borderId="2" applyAlignment="1" pivotButton="0" quotePrefix="0" xfId="4">
      <alignment horizontal="center" vertical="center"/>
    </xf>
    <xf numFmtId="0" fontId="2" fillId="3" borderId="6" applyAlignment="1" pivotButton="0" quotePrefix="0" xfId="4">
      <alignment horizontal="center" vertical="center"/>
    </xf>
    <xf numFmtId="0" fontId="2" fillId="0" borderId="10" applyAlignment="1" pivotButton="0" quotePrefix="0" xfId="4">
      <alignment horizontal="center" vertical="center"/>
    </xf>
    <xf numFmtId="167" fontId="2" fillId="0" borderId="2" applyAlignment="1" pivotButton="0" quotePrefix="0" xfId="4">
      <alignment horizontal="center" vertical="center"/>
    </xf>
    <xf numFmtId="167" fontId="2" fillId="0" borderId="2" applyAlignment="1" pivotButton="0" quotePrefix="0" xfId="4">
      <alignment horizontal="left" vertical="center"/>
    </xf>
    <xf numFmtId="0" fontId="2" fillId="0" borderId="3" applyAlignment="1" pivotButton="0" quotePrefix="0" xfId="4">
      <alignment horizontal="center" vertical="center"/>
    </xf>
    <xf numFmtId="167" fontId="2" fillId="0" borderId="9" applyAlignment="1" pivotButton="0" quotePrefix="0" xfId="4">
      <alignment horizontal="center" vertical="center"/>
    </xf>
    <xf numFmtId="164" fontId="2" fillId="0" borderId="0" applyAlignment="1" pivotButton="0" quotePrefix="0" xfId="2">
      <alignment horizontal="center" vertical="center"/>
    </xf>
    <xf numFmtId="164" fontId="11" fillId="2" borderId="0" applyAlignment="1" pivotButton="0" quotePrefix="0" xfId="2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168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13" fillId="4" borderId="22" applyAlignment="1" pivotButton="0" quotePrefix="0" xfId="0">
      <alignment horizontal="center" vertical="center"/>
    </xf>
    <xf numFmtId="0" fontId="13" fillId="4" borderId="23" applyAlignment="1" pivotButton="0" quotePrefix="0" xfId="0">
      <alignment horizontal="center" vertical="center"/>
    </xf>
    <xf numFmtId="166" fontId="0" fillId="0" borderId="9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169" fontId="0" fillId="0" borderId="2" applyAlignment="1" pivotButton="0" quotePrefix="0" xfId="5">
      <alignment vertical="center"/>
    </xf>
    <xf numFmtId="169" fontId="0" fillId="0" borderId="2" applyAlignment="1" pivotButton="0" quotePrefix="0" xfId="5">
      <alignment horizontal="center" vertical="center"/>
    </xf>
    <xf numFmtId="168" fontId="0" fillId="0" borderId="2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/>
    </xf>
    <xf numFmtId="0" fontId="0" fillId="0" borderId="9" applyAlignment="1" pivotButton="0" quotePrefix="0" xfId="0">
      <alignment vertical="center"/>
    </xf>
    <xf numFmtId="0" fontId="14" fillId="0" borderId="2" applyAlignment="1" pivotButton="0" quotePrefix="0" xfId="0">
      <alignment horizontal="left" vertical="center"/>
    </xf>
    <xf numFmtId="0" fontId="0" fillId="0" borderId="2" applyAlignment="1" pivotButton="0" quotePrefix="1" xfId="0">
      <alignment horizontal="center" vertical="center"/>
    </xf>
    <xf numFmtId="166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/>
    </xf>
    <xf numFmtId="0" fontId="15" fillId="0" borderId="2" applyAlignment="1" pivotButton="0" quotePrefix="0" xfId="0">
      <alignment vertical="center"/>
    </xf>
    <xf numFmtId="169" fontId="0" fillId="0" borderId="0" applyAlignment="1" pivotButton="0" quotePrefix="0" xfId="5">
      <alignment vertical="center"/>
    </xf>
    <xf numFmtId="166" fontId="0" fillId="0" borderId="26" applyAlignment="1" pivotButton="0" quotePrefix="0" xfId="0">
      <alignment horizontal="center" vertical="center"/>
    </xf>
    <xf numFmtId="0" fontId="12" fillId="5" borderId="27" applyAlignment="1" pivotButton="0" quotePrefix="0" xfId="0">
      <alignment horizontal="center" vertical="center"/>
    </xf>
    <xf numFmtId="0" fontId="13" fillId="0" borderId="28" applyAlignment="1" pivotButton="0" quotePrefix="0" xfId="0">
      <alignment horizontal="center" vertical="center"/>
    </xf>
    <xf numFmtId="169" fontId="13" fillId="4" borderId="28" applyAlignment="1" pivotButton="0" quotePrefix="0" xfId="5">
      <alignment horizontal="center" vertical="center"/>
    </xf>
    <xf numFmtId="169" fontId="12" fillId="5" borderId="29" applyAlignment="1" pivotButton="0" quotePrefix="0" xfId="5">
      <alignment horizontal="center" vertical="center"/>
    </xf>
    <xf numFmtId="169" fontId="21" fillId="10" borderId="29" applyAlignment="1" pivotButton="0" quotePrefix="0" xfId="5">
      <alignment horizontal="center" vertical="center"/>
    </xf>
    <xf numFmtId="0" fontId="22" fillId="0" borderId="2" applyAlignment="1" pivotButton="0" quotePrefix="0" xfId="0">
      <alignment vertical="center"/>
    </xf>
    <xf numFmtId="169" fontId="0" fillId="0" borderId="2" applyAlignment="1" pivotButton="0" quotePrefix="0" xfId="5">
      <alignment vertical="center"/>
    </xf>
    <xf numFmtId="169" fontId="0" fillId="0" borderId="9" applyAlignment="1" pivotButton="0" quotePrefix="0" xfId="5">
      <alignment vertical="center"/>
    </xf>
    <xf numFmtId="0" fontId="22" fillId="0" borderId="0" applyAlignment="1" pivotButton="0" quotePrefix="0" xfId="0">
      <alignment vertical="center"/>
    </xf>
    <xf numFmtId="169" fontId="0" fillId="0" borderId="0" applyAlignment="1" pivotButton="0" quotePrefix="0" xfId="5">
      <alignment vertical="center"/>
    </xf>
    <xf numFmtId="166" fontId="22" fillId="0" borderId="2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169" fontId="22" fillId="0" borderId="2" applyAlignment="1" pivotButton="0" quotePrefix="0" xfId="5">
      <alignment vertical="center"/>
    </xf>
    <xf numFmtId="169" fontId="22" fillId="0" borderId="9" applyAlignment="1" pivotButton="0" quotePrefix="0" xfId="5">
      <alignment vertical="center"/>
    </xf>
    <xf numFmtId="0" fontId="17" fillId="0" borderId="0" applyAlignment="1" pivotButton="0" quotePrefix="0" xfId="0">
      <alignment vertical="center"/>
    </xf>
    <xf numFmtId="0" fontId="23" fillId="4" borderId="22" applyAlignment="1" pivotButton="0" quotePrefix="0" xfId="0">
      <alignment horizontal="center" vertical="center"/>
    </xf>
    <xf numFmtId="0" fontId="23" fillId="4" borderId="24" applyAlignment="1" pivotButton="0" quotePrefix="0" xfId="0">
      <alignment horizontal="center" vertical="center"/>
    </xf>
    <xf numFmtId="0" fontId="23" fillId="4" borderId="21" applyAlignment="1" pivotButton="0" quotePrefix="0" xfId="0">
      <alignment horizontal="center" vertical="center"/>
    </xf>
    <xf numFmtId="0" fontId="23" fillId="4" borderId="34" applyAlignment="1" pivotButton="0" quotePrefix="0" xfId="0">
      <alignment horizontal="center" vertical="center"/>
    </xf>
    <xf numFmtId="0" fontId="23" fillId="4" borderId="20" applyAlignment="1" pivotButton="0" quotePrefix="0" xfId="0">
      <alignment horizontal="center" vertical="center"/>
    </xf>
    <xf numFmtId="0" fontId="23" fillId="0" borderId="35" applyAlignment="1" pivotButton="0" quotePrefix="0" xfId="0">
      <alignment horizontal="center" vertical="center"/>
    </xf>
    <xf numFmtId="170" fontId="23" fillId="0" borderId="36" applyAlignment="1" pivotButton="0" quotePrefix="0" xfId="5">
      <alignment vertical="center"/>
    </xf>
    <xf numFmtId="170" fontId="23" fillId="0" borderId="37" applyAlignment="1" pivotButton="0" quotePrefix="0" xfId="5">
      <alignment vertical="center"/>
    </xf>
    <xf numFmtId="170" fontId="23" fillId="0" borderId="38" applyAlignment="1" pivotButton="0" quotePrefix="0" xfId="5">
      <alignment vertical="center"/>
    </xf>
    <xf numFmtId="170" fontId="23" fillId="0" borderId="39" applyAlignment="1" pivotButton="0" quotePrefix="0" xfId="5">
      <alignment vertical="center"/>
    </xf>
    <xf numFmtId="170" fontId="23" fillId="0" borderId="40" applyAlignment="1" pivotButton="0" quotePrefix="0" xfId="5">
      <alignment vertical="center"/>
    </xf>
    <xf numFmtId="0" fontId="23" fillId="0" borderId="41" applyAlignment="1" pivotButton="0" quotePrefix="0" xfId="0">
      <alignment horizontal="center" vertical="center"/>
    </xf>
    <xf numFmtId="170" fontId="23" fillId="0" borderId="42" applyAlignment="1" pivotButton="0" quotePrefix="0" xfId="5">
      <alignment vertical="center"/>
    </xf>
    <xf numFmtId="170" fontId="23" fillId="0" borderId="43" applyAlignment="1" pivotButton="0" quotePrefix="0" xfId="5">
      <alignment vertical="center"/>
    </xf>
    <xf numFmtId="170" fontId="23" fillId="0" borderId="44" applyAlignment="1" pivotButton="0" quotePrefix="0" xfId="5">
      <alignment vertical="center"/>
    </xf>
    <xf numFmtId="170" fontId="23" fillId="0" borderId="45" applyAlignment="1" pivotButton="0" quotePrefix="0" xfId="5">
      <alignment vertical="center"/>
    </xf>
    <xf numFmtId="0" fontId="23" fillId="0" borderId="47" applyAlignment="1" pivotButton="0" quotePrefix="0" xfId="0">
      <alignment horizontal="center" vertical="center"/>
    </xf>
    <xf numFmtId="170" fontId="23" fillId="0" borderId="48" applyAlignment="1" pivotButton="0" quotePrefix="0" xfId="5">
      <alignment vertical="center"/>
    </xf>
    <xf numFmtId="170" fontId="23" fillId="0" borderId="49" applyAlignment="1" pivotButton="0" quotePrefix="0" xfId="5">
      <alignment vertical="center"/>
    </xf>
    <xf numFmtId="170" fontId="23" fillId="0" borderId="50" applyAlignment="1" pivotButton="0" quotePrefix="0" xfId="5">
      <alignment vertical="center"/>
    </xf>
    <xf numFmtId="170" fontId="23" fillId="0" borderId="51" applyAlignment="1" pivotButton="0" quotePrefix="0" xfId="5">
      <alignment vertical="center"/>
    </xf>
    <xf numFmtId="0" fontId="23" fillId="10" borderId="53" applyAlignment="1" pivotButton="0" quotePrefix="0" xfId="0">
      <alignment horizontal="center" vertical="center"/>
    </xf>
    <xf numFmtId="170" fontId="23" fillId="10" borderId="26" applyAlignment="1" pivotButton="0" quotePrefix="0" xfId="5">
      <alignment vertical="center"/>
    </xf>
    <xf numFmtId="170" fontId="23" fillId="10" borderId="28" applyAlignment="1" pivotButton="0" quotePrefix="0" xfId="5">
      <alignment vertical="center"/>
    </xf>
    <xf numFmtId="170" fontId="23" fillId="10" borderId="29" applyAlignment="1" pivotButton="0" quotePrefix="0" xfId="5">
      <alignment vertical="center"/>
    </xf>
    <xf numFmtId="170" fontId="23" fillId="10" borderId="27" applyAlignment="1" pivotButton="0" quotePrefix="0" xfId="5">
      <alignment vertical="center"/>
    </xf>
    <xf numFmtId="170" fontId="23" fillId="10" borderId="54" applyAlignment="1" pivotButton="0" quotePrefix="0" xfId="5">
      <alignment vertical="center"/>
    </xf>
    <xf numFmtId="170" fontId="7" fillId="0" borderId="36" applyAlignment="1" pivotButton="0" quotePrefix="0" xfId="5">
      <alignment vertical="center"/>
    </xf>
    <xf numFmtId="170" fontId="7" fillId="0" borderId="37" applyAlignment="1" pivotButton="0" quotePrefix="0" xfId="5">
      <alignment vertical="center"/>
    </xf>
    <xf numFmtId="170" fontId="7" fillId="0" borderId="42" applyAlignment="1" pivotButton="0" quotePrefix="0" xfId="5">
      <alignment vertical="center"/>
    </xf>
    <xf numFmtId="170" fontId="7" fillId="0" borderId="43" applyAlignment="1" pivotButton="0" quotePrefix="0" xfId="5">
      <alignment vertical="center"/>
    </xf>
    <xf numFmtId="170" fontId="7" fillId="0" borderId="48" applyAlignment="1" pivotButton="0" quotePrefix="0" xfId="5">
      <alignment vertical="center"/>
    </xf>
    <xf numFmtId="170" fontId="7" fillId="0" borderId="49" applyAlignment="1" pivotButton="0" quotePrefix="0" xfId="5">
      <alignment vertical="center"/>
    </xf>
    <xf numFmtId="0" fontId="7" fillId="0" borderId="40" applyAlignment="1" pivotButton="0" quotePrefix="0" xfId="0">
      <alignment horizontal="center" vertical="center"/>
    </xf>
    <xf numFmtId="0" fontId="7" fillId="0" borderId="46" applyAlignment="1" pivotButton="0" quotePrefix="0" xfId="0">
      <alignment horizontal="center" vertical="center"/>
    </xf>
    <xf numFmtId="0" fontId="7" fillId="0" borderId="52" applyAlignment="1" pivotButton="0" quotePrefix="0" xfId="0">
      <alignment horizontal="center" vertical="center"/>
    </xf>
    <xf numFmtId="170" fontId="7" fillId="10" borderId="13" applyAlignment="1" pivotButton="0" quotePrefix="0" xfId="5">
      <alignment vertical="center"/>
    </xf>
    <xf numFmtId="0" fontId="13" fillId="4" borderId="2" applyAlignment="1" pivotButton="0" quotePrefix="0" xfId="0">
      <alignment horizontal="center" vertical="center"/>
    </xf>
    <xf numFmtId="166" fontId="13" fillId="4" borderId="2" applyAlignment="1" pivotButton="0" quotePrefix="0" xfId="0">
      <alignment horizontal="center" vertical="center"/>
    </xf>
    <xf numFmtId="169" fontId="0" fillId="0" borderId="0" applyAlignment="1" pivotButton="0" quotePrefix="0" xfId="0">
      <alignment vertical="center"/>
    </xf>
    <xf numFmtId="170" fontId="2" fillId="0" borderId="37" applyAlignment="1" pivotButton="0" quotePrefix="0" xfId="5">
      <alignment vertical="center"/>
    </xf>
    <xf numFmtId="170" fontId="2" fillId="0" borderId="43" applyAlignment="1" pivotButton="0" quotePrefix="0" xfId="5">
      <alignment vertical="center"/>
    </xf>
    <xf numFmtId="170" fontId="2" fillId="0" borderId="49" applyAlignment="1" pivotButton="0" quotePrefix="0" xfId="5">
      <alignment vertical="center"/>
    </xf>
    <xf numFmtId="170" fontId="7" fillId="10" borderId="30" applyAlignment="1" pivotButton="0" quotePrefix="0" xfId="5">
      <alignment vertical="center"/>
    </xf>
    <xf numFmtId="170" fontId="7" fillId="10" borderId="31" applyAlignment="1" pivotButton="0" quotePrefix="0" xfId="5">
      <alignment vertical="center"/>
    </xf>
    <xf numFmtId="170" fontId="2" fillId="10" borderId="31" applyAlignment="1" pivotButton="0" quotePrefix="0" xfId="5">
      <alignment vertical="center"/>
    </xf>
    <xf numFmtId="170" fontId="7" fillId="10" borderId="12" applyAlignment="1" pivotButton="0" quotePrefix="0" xfId="5">
      <alignment vertical="center"/>
    </xf>
    <xf numFmtId="170" fontId="2" fillId="10" borderId="13" applyAlignment="1" pivotButton="0" quotePrefix="0" xfId="5">
      <alignment vertical="center"/>
    </xf>
    <xf numFmtId="170" fontId="7" fillId="10" borderId="55" applyAlignment="1" pivotButton="0" quotePrefix="0" xfId="5">
      <alignment vertical="center"/>
    </xf>
    <xf numFmtId="49" fontId="2" fillId="2" borderId="0" applyAlignment="1" pivotButton="0" quotePrefix="0" xfId="2">
      <alignment horizontal="center" vertical="center"/>
    </xf>
    <xf numFmtId="49" fontId="2" fillId="2" borderId="1" applyAlignment="1" pivotButton="0" quotePrefix="0" xfId="2">
      <alignment horizontal="center" vertical="center"/>
    </xf>
    <xf numFmtId="166" fontId="0" fillId="0" borderId="3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vertical="center"/>
    </xf>
    <xf numFmtId="0" fontId="25" fillId="0" borderId="2" applyAlignment="1" pivotButton="0" quotePrefix="0" xfId="0">
      <alignment horizontal="center" vertical="center"/>
    </xf>
    <xf numFmtId="170" fontId="23" fillId="0" borderId="14" applyAlignment="1" pivotButton="0" quotePrefix="0" xfId="5">
      <alignment vertical="center"/>
    </xf>
    <xf numFmtId="170" fontId="23" fillId="0" borderId="56" applyAlignment="1" pivotButton="0" quotePrefix="0" xfId="5">
      <alignment vertical="center"/>
    </xf>
    <xf numFmtId="170" fontId="23" fillId="0" borderId="57" applyAlignment="1" pivotButton="0" quotePrefix="0" xfId="5">
      <alignment vertical="center"/>
    </xf>
    <xf numFmtId="0" fontId="7" fillId="4" borderId="22" applyAlignment="1" pivotButton="0" quotePrefix="0" xfId="0">
      <alignment horizontal="center" vertical="center"/>
    </xf>
    <xf numFmtId="164" fontId="7" fillId="4" borderId="2" applyAlignment="1" pivotButton="0" quotePrefix="0" xfId="2">
      <alignment horizontal="center" vertical="center"/>
    </xf>
    <xf numFmtId="164" fontId="7" fillId="4" borderId="6" applyAlignment="1" pivotButton="0" quotePrefix="0" xfId="2">
      <alignment horizontal="center" vertical="center"/>
    </xf>
    <xf numFmtId="0" fontId="0" fillId="0" borderId="2" applyAlignment="1" pivotButton="0" quotePrefix="0" xfId="0">
      <alignment vertical="center" wrapText="1"/>
    </xf>
    <xf numFmtId="0" fontId="0" fillId="0" borderId="6" applyAlignment="1" pivotButton="0" quotePrefix="0" xfId="0">
      <alignment vertical="center"/>
    </xf>
    <xf numFmtId="169" fontId="0" fillId="0" borderId="6" applyAlignment="1" pivotButton="0" quotePrefix="0" xfId="5">
      <alignment vertical="center"/>
    </xf>
    <xf numFmtId="0" fontId="25" fillId="0" borderId="6" applyAlignment="1" pivotButton="0" quotePrefix="0" xfId="0">
      <alignment horizontal="center" vertical="center"/>
    </xf>
    <xf numFmtId="169" fontId="0" fillId="0" borderId="6" applyAlignment="1" pivotButton="0" quotePrefix="0" xfId="5">
      <alignment vertical="center"/>
    </xf>
    <xf numFmtId="164" fontId="26" fillId="2" borderId="0" applyAlignment="1" pivotButton="0" quotePrefix="0" xfId="2">
      <alignment horizontal="center" vertical="center"/>
    </xf>
    <xf numFmtId="164" fontId="26" fillId="2" borderId="2" applyAlignment="1" pivotButton="0" quotePrefix="0" xfId="2">
      <alignment horizontal="center" vertical="center"/>
    </xf>
    <xf numFmtId="164" fontId="26" fillId="2" borderId="0" applyAlignment="1" pivotButton="0" quotePrefix="0" xfId="2">
      <alignment horizontal="left" vertical="center"/>
    </xf>
    <xf numFmtId="0" fontId="7" fillId="10" borderId="31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vertical="center"/>
    </xf>
    <xf numFmtId="166" fontId="10" fillId="0" borderId="9" applyAlignment="1" pivotButton="0" quotePrefix="0" xfId="0">
      <alignment horizontal="center" vertical="center"/>
    </xf>
    <xf numFmtId="14" fontId="10" fillId="0" borderId="8" applyAlignment="1" pivotButton="0" quotePrefix="0" xfId="0">
      <alignment horizontal="center" vertical="center"/>
    </xf>
    <xf numFmtId="164" fontId="10" fillId="0" borderId="2" applyAlignment="1" pivotButton="0" quotePrefix="0" xfId="2">
      <alignment vertical="center"/>
    </xf>
    <xf numFmtId="164" fontId="10" fillId="2" borderId="2" applyAlignment="1" pivotButton="0" quotePrefix="0" xfId="2">
      <alignment horizontal="center" vertical="center"/>
    </xf>
    <xf numFmtId="164" fontId="10" fillId="2" borderId="8" applyAlignment="1" pivotButton="0" quotePrefix="0" xfId="2">
      <alignment horizontal="center" vertical="center"/>
    </xf>
    <xf numFmtId="0" fontId="10" fillId="2" borderId="2" applyAlignment="1" pivotButton="0" quotePrefix="0" xfId="0">
      <alignment vertical="center"/>
    </xf>
    <xf numFmtId="166" fontId="10" fillId="2" borderId="9" applyAlignment="1" pivotButton="0" quotePrefix="0" xfId="0">
      <alignment horizontal="center" vertical="center"/>
    </xf>
    <xf numFmtId="14" fontId="10" fillId="2" borderId="8" applyAlignment="1" pivotButton="0" quotePrefix="0" xfId="0">
      <alignment horizontal="center" vertical="center"/>
    </xf>
    <xf numFmtId="49" fontId="10" fillId="2" borderId="8" applyAlignment="1" pivotButton="0" quotePrefix="0" xfId="2">
      <alignment horizontal="center" vertical="center"/>
    </xf>
    <xf numFmtId="164" fontId="10" fillId="2" borderId="2" applyAlignment="1" pivotButton="0" quotePrefix="0" xfId="1">
      <alignment horizontal="center" vertical="center"/>
    </xf>
    <xf numFmtId="0" fontId="10" fillId="2" borderId="2" applyAlignment="1" pivotButton="0" quotePrefix="0" xfId="0">
      <alignment horizontal="left" vertical="center"/>
    </xf>
    <xf numFmtId="166" fontId="10" fillId="2" borderId="8" applyAlignment="1" pivotButton="0" quotePrefix="0" xfId="0">
      <alignment horizontal="center" vertical="center"/>
    </xf>
    <xf numFmtId="0" fontId="27" fillId="2" borderId="8" applyAlignment="1" pivotButton="0" quotePrefix="0" xfId="0">
      <alignment horizontal="center" vertical="center"/>
    </xf>
    <xf numFmtId="0" fontId="27" fillId="2" borderId="8" applyAlignment="1" pivotButton="0" quotePrefix="0" xfId="0">
      <alignment vertical="center" wrapText="1"/>
    </xf>
    <xf numFmtId="14" fontId="27" fillId="2" borderId="8" applyAlignment="1" pivotButton="0" quotePrefix="0" xfId="0">
      <alignment horizontal="center" vertical="center"/>
    </xf>
    <xf numFmtId="164" fontId="27" fillId="2" borderId="2" applyAlignment="1" pivotButton="0" quotePrefix="0" xfId="2">
      <alignment horizontal="center" vertical="center"/>
    </xf>
    <xf numFmtId="164" fontId="27" fillId="2" borderId="8" applyAlignment="1" pivotButton="0" quotePrefix="0" xfId="2">
      <alignment horizontal="center" vertical="center"/>
    </xf>
    <xf numFmtId="0" fontId="10" fillId="2" borderId="8" applyAlignment="1" pivotButton="0" quotePrefix="0" xfId="0">
      <alignment horizontal="center" vertical="center"/>
    </xf>
    <xf numFmtId="0" fontId="10" fillId="2" borderId="5" applyAlignment="1" pivotButton="0" quotePrefix="0" xfId="0">
      <alignment vertical="center"/>
    </xf>
    <xf numFmtId="0" fontId="10" fillId="2" borderId="8" applyAlignment="1" pivotButton="0" quotePrefix="0" xfId="0">
      <alignment vertical="center"/>
    </xf>
    <xf numFmtId="0" fontId="18" fillId="0" borderId="9" applyAlignment="1" pivotButton="0" quotePrefix="0" xfId="0">
      <alignment vertical="center"/>
    </xf>
    <xf numFmtId="0" fontId="18" fillId="0" borderId="2" applyAlignment="1" pivotButton="0" quotePrefix="0" xfId="0">
      <alignment vertical="center"/>
    </xf>
    <xf numFmtId="0" fontId="10" fillId="2" borderId="2" applyAlignment="1" pivotButton="0" quotePrefix="0" xfId="0">
      <alignment horizontal="center" vertical="center"/>
    </xf>
    <xf numFmtId="166" fontId="10" fillId="2" borderId="2" applyAlignment="1" pivotButton="0" quotePrefix="0" xfId="0">
      <alignment horizontal="center" vertical="center"/>
    </xf>
    <xf numFmtId="164" fontId="10" fillId="2" borderId="2" applyAlignment="1" pivotButton="0" quotePrefix="0" xfId="2">
      <alignment vertical="center"/>
    </xf>
    <xf numFmtId="171" fontId="26" fillId="2" borderId="2" applyAlignment="1" pivotButton="0" quotePrefix="0" xfId="0">
      <alignment horizontal="center" vertical="center"/>
    </xf>
    <xf numFmtId="170" fontId="7" fillId="0" borderId="14" applyAlignment="1" pivotButton="0" quotePrefix="0" xfId="5">
      <alignment vertical="center"/>
    </xf>
    <xf numFmtId="169" fontId="0" fillId="0" borderId="2" applyAlignment="1" pivotButton="0" quotePrefix="1" xfId="5">
      <alignment vertical="center"/>
    </xf>
    <xf numFmtId="0" fontId="0" fillId="11" borderId="2" applyAlignment="1" pivotButton="0" quotePrefix="0" xfId="0">
      <alignment horizontal="center" vertical="center"/>
    </xf>
    <xf numFmtId="0" fontId="28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center"/>
    </xf>
    <xf numFmtId="0" fontId="28" fillId="0" borderId="2" applyAlignment="1" pivotButton="0" quotePrefix="0" xfId="0">
      <alignment vertical="center"/>
    </xf>
    <xf numFmtId="3" fontId="29" fillId="0" borderId="2" applyAlignment="1" pivotButton="0" quotePrefix="0" xfId="0">
      <alignment vertical="center"/>
    </xf>
    <xf numFmtId="14" fontId="10" fillId="2" borderId="2" applyAlignment="1" pivotButton="0" quotePrefix="0" xfId="0">
      <alignment horizontal="center" vertical="center"/>
    </xf>
    <xf numFmtId="0" fontId="30" fillId="12" borderId="0" applyAlignment="1" pivotButton="0" quotePrefix="0" xfId="0">
      <alignment horizontal="center" vertical="center"/>
    </xf>
    <xf numFmtId="0" fontId="30" fillId="12" borderId="58" applyAlignment="1" pivotButton="0" quotePrefix="0" xfId="0">
      <alignment horizontal="center" vertical="center"/>
    </xf>
    <xf numFmtId="0" fontId="30" fillId="12" borderId="59" applyAlignment="1" pivotButton="0" quotePrefix="0" xfId="0">
      <alignment horizontal="center" vertical="center"/>
    </xf>
    <xf numFmtId="14" fontId="30" fillId="12" borderId="2" applyAlignment="1" pivotButton="0" quotePrefix="0" xfId="0">
      <alignment horizontal="center" vertical="center"/>
    </xf>
    <xf numFmtId="0" fontId="10" fillId="2" borderId="8" applyAlignment="1" pivotButton="0" quotePrefix="0" xfId="2">
      <alignment horizontal="center" vertical="center"/>
    </xf>
    <xf numFmtId="0" fontId="27" fillId="2" borderId="8" applyAlignment="1" pivotButton="0" quotePrefix="0" xfId="2">
      <alignment horizontal="center" vertical="center"/>
    </xf>
    <xf numFmtId="164" fontId="7" fillId="4" borderId="3" applyAlignment="1" pivotButton="0" quotePrefix="0" xfId="2">
      <alignment horizontal="center" vertical="center"/>
    </xf>
    <xf numFmtId="164" fontId="7" fillId="4" borderId="5" applyAlignment="1" pivotButton="0" quotePrefix="0" xfId="2">
      <alignment horizontal="center" vertical="center"/>
    </xf>
    <xf numFmtId="164" fontId="7" fillId="4" borderId="2" applyAlignment="1" pivotButton="0" quotePrefix="0" xfId="2">
      <alignment horizontal="center" vertical="center"/>
    </xf>
    <xf numFmtId="164" fontId="8" fillId="3" borderId="1" applyAlignment="1" pivotButton="0" quotePrefix="0" xfId="2">
      <alignment horizontal="center" vertical="center"/>
    </xf>
    <xf numFmtId="164" fontId="7" fillId="4" borderId="6" applyAlignment="1" pivotButton="0" quotePrefix="0" xfId="2">
      <alignment horizontal="center" vertical="center"/>
    </xf>
    <xf numFmtId="164" fontId="9" fillId="5" borderId="3" applyAlignment="1" pivotButton="0" quotePrefix="0" xfId="2">
      <alignment horizontal="center" vertical="center" wrapText="1"/>
    </xf>
    <xf numFmtId="164" fontId="9" fillId="5" borderId="6" applyAlignment="1" pivotButton="0" quotePrefix="0" xfId="2">
      <alignment horizontal="center" vertical="center" wrapText="1"/>
    </xf>
    <xf numFmtId="164" fontId="7" fillId="4" borderId="4" applyAlignment="1" pivotButton="0" quotePrefix="0" xfId="2">
      <alignment horizontal="center" vertical="center"/>
    </xf>
    <xf numFmtId="164" fontId="7" fillId="4" borderId="2" applyAlignment="1" pivotButton="0" quotePrefix="0" xfId="2">
      <alignment horizontal="center" vertical="center" wrapText="1"/>
    </xf>
    <xf numFmtId="49" fontId="7" fillId="4" borderId="2" applyAlignment="1" pivotButton="0" quotePrefix="0" xfId="2">
      <alignment horizontal="center" vertical="center"/>
    </xf>
    <xf numFmtId="49" fontId="7" fillId="4" borderId="6" applyAlignment="1" pivotButton="0" quotePrefix="0" xfId="2">
      <alignment horizontal="center" vertical="center"/>
    </xf>
    <xf numFmtId="164" fontId="7" fillId="6" borderId="4" applyAlignment="1" pivotButton="0" quotePrefix="0" xfId="2">
      <alignment horizontal="center" vertical="center"/>
    </xf>
    <xf numFmtId="164" fontId="7" fillId="6" borderId="2" applyAlignment="1" pivotButton="0" quotePrefix="0" xfId="2">
      <alignment horizontal="center" vertical="center"/>
    </xf>
    <xf numFmtId="164" fontId="7" fillId="6" borderId="2" applyAlignment="1" pivotButton="0" quotePrefix="0" xfId="2">
      <alignment horizontal="center" vertical="center" wrapText="1"/>
    </xf>
    <xf numFmtId="164" fontId="7" fillId="6" borderId="6" applyAlignment="1" pivotButton="0" quotePrefix="0" xfId="2">
      <alignment horizontal="center" vertical="center" wrapText="1"/>
    </xf>
    <xf numFmtId="164" fontId="9" fillId="5" borderId="2" applyAlignment="1" pivotButton="0" quotePrefix="0" xfId="2">
      <alignment horizontal="center" vertical="center" wrapText="1"/>
    </xf>
    <xf numFmtId="164" fontId="9" fillId="5" borderId="2" applyAlignment="1" pivotButton="0" quotePrefix="0" xfId="2">
      <alignment horizontal="center" vertical="center"/>
    </xf>
    <xf numFmtId="171" fontId="9" fillId="5" borderId="2" applyAlignment="1" pivotButton="0" quotePrefix="0" xfId="0">
      <alignment horizontal="center" vertical="center" wrapText="1"/>
    </xf>
    <xf numFmtId="171" fontId="9" fillId="5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7" fillId="4" borderId="34" applyAlignment="1" pivotButton="0" quotePrefix="0" xfId="0">
      <alignment horizontal="center" vertical="center"/>
    </xf>
    <xf numFmtId="166" fontId="7" fillId="4" borderId="17" applyAlignment="1" pivotButton="0" quotePrefix="1" xfId="0">
      <alignment horizontal="center" vertical="center"/>
    </xf>
    <xf numFmtId="166" fontId="7" fillId="4" borderId="2" applyAlignment="1" pivotButton="0" quotePrefix="0" xfId="0">
      <alignment horizontal="center" vertical="center"/>
    </xf>
    <xf numFmtId="0" fontId="7" fillId="4" borderId="17" applyAlignment="1" pivotButton="0" quotePrefix="0" xfId="0">
      <alignment horizontal="center" vertical="center"/>
    </xf>
    <xf numFmtId="0" fontId="7" fillId="4" borderId="20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7" fillId="4" borderId="22" applyAlignment="1" pivotButton="0" quotePrefix="0" xfId="0">
      <alignment horizontal="center" vertical="center"/>
    </xf>
    <xf numFmtId="0" fontId="7" fillId="4" borderId="4" applyAlignment="1" pivotButton="0" quotePrefix="0" xfId="0">
      <alignment horizontal="center" vertical="center"/>
    </xf>
    <xf numFmtId="0" fontId="7" fillId="4" borderId="5" applyAlignment="1" pivotButton="0" quotePrefix="0" xfId="0">
      <alignment horizontal="center" vertical="center"/>
    </xf>
    <xf numFmtId="166" fontId="23" fillId="4" borderId="12" applyAlignment="1" pivotButton="0" quotePrefix="0" xfId="0">
      <alignment horizontal="center" vertical="center"/>
    </xf>
    <xf numFmtId="166" fontId="23" fillId="4" borderId="13" applyAlignment="1" pivotButton="0" quotePrefix="0" xfId="0">
      <alignment horizontal="center" vertical="center"/>
    </xf>
    <xf numFmtId="166" fontId="23" fillId="4" borderId="15" applyAlignment="1" pivotButton="0" quotePrefix="0" xfId="0">
      <alignment horizontal="center" vertical="center"/>
    </xf>
    <xf numFmtId="0" fontId="23" fillId="4" borderId="17" applyAlignment="1" pivotButton="0" quotePrefix="0" xfId="0">
      <alignment horizontal="center" vertical="center"/>
    </xf>
    <xf numFmtId="0" fontId="23" fillId="4" borderId="20" applyAlignment="1" pivotButton="0" quotePrefix="0" xfId="0">
      <alignment horizontal="center" vertical="center"/>
    </xf>
    <xf numFmtId="0" fontId="23" fillId="4" borderId="2" applyAlignment="1" pivotButton="0" quotePrefix="0" xfId="0">
      <alignment horizontal="center" vertical="center"/>
    </xf>
    <xf numFmtId="0" fontId="23" fillId="4" borderId="22" applyAlignment="1" pivotButton="0" quotePrefix="0" xfId="0">
      <alignment horizontal="center" vertical="center"/>
    </xf>
    <xf numFmtId="0" fontId="23" fillId="4" borderId="3" applyAlignment="1" pivotButton="0" quotePrefix="0" xfId="0">
      <alignment horizontal="center" vertical="center"/>
    </xf>
    <xf numFmtId="0" fontId="23" fillId="4" borderId="4" applyAlignment="1" pivotButton="0" quotePrefix="0" xfId="0">
      <alignment horizontal="center" vertical="center"/>
    </xf>
    <xf numFmtId="0" fontId="23" fillId="4" borderId="5" applyAlignment="1" pivotButton="0" quotePrefix="0" xfId="0">
      <alignment horizontal="center" vertical="center"/>
    </xf>
    <xf numFmtId="0" fontId="23" fillId="4" borderId="18" applyAlignment="1" pivotButton="0" quotePrefix="0" xfId="0">
      <alignment horizontal="center" vertical="center"/>
    </xf>
    <xf numFmtId="0" fontId="23" fillId="4" borderId="30" applyAlignment="1" pivotButton="0" quotePrefix="0" xfId="0">
      <alignment horizontal="center" vertical="center"/>
    </xf>
    <xf numFmtId="0" fontId="23" fillId="4" borderId="32" applyAlignment="1" pivotButton="0" quotePrefix="0" xfId="0">
      <alignment horizontal="center" vertical="center"/>
    </xf>
    <xf numFmtId="0" fontId="23" fillId="4" borderId="33" applyAlignment="1" pivotButton="0" quotePrefix="0" xfId="0">
      <alignment horizontal="center" vertical="center"/>
    </xf>
    <xf numFmtId="166" fontId="23" fillId="4" borderId="11" applyAlignment="1" pivotButton="0" quotePrefix="0" xfId="0">
      <alignment horizontal="center" vertical="center"/>
    </xf>
    <xf numFmtId="166" fontId="23" fillId="4" borderId="31" applyAlignment="1" pivotButton="0" quotePrefix="0" xfId="0">
      <alignment horizontal="center" vertical="center"/>
    </xf>
    <xf numFmtId="0" fontId="13" fillId="4" borderId="13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center" vertical="center"/>
    </xf>
    <xf numFmtId="0" fontId="13" fillId="4" borderId="22" applyAlignment="1" pivotButton="0" quotePrefix="0" xfId="0">
      <alignment horizontal="center" vertical="center"/>
    </xf>
    <xf numFmtId="166" fontId="12" fillId="5" borderId="11" applyAlignment="1" pivotButton="0" quotePrefix="0" xfId="0">
      <alignment horizontal="center" vertical="center" wrapText="1"/>
    </xf>
    <xf numFmtId="166" fontId="12" fillId="5" borderId="17" applyAlignment="1" pivotButton="0" quotePrefix="0" xfId="0">
      <alignment horizontal="center" vertical="center"/>
    </xf>
    <xf numFmtId="166" fontId="12" fillId="5" borderId="20" applyAlignment="1" pivotButton="0" quotePrefix="0" xfId="0">
      <alignment horizontal="center" vertical="center"/>
    </xf>
    <xf numFmtId="0" fontId="13" fillId="4" borderId="12" applyAlignment="1" pivotButton="0" quotePrefix="0" xfId="0">
      <alignment horizontal="center" vertical="center" wrapText="1"/>
    </xf>
    <xf numFmtId="0" fontId="13" fillId="4" borderId="5" applyAlignment="1" pivotButton="0" quotePrefix="0" xfId="0">
      <alignment horizontal="center" vertical="center"/>
    </xf>
    <xf numFmtId="0" fontId="13" fillId="4" borderId="21" applyAlignment="1" pivotButton="0" quotePrefix="0" xfId="0">
      <alignment horizontal="center" vertical="center"/>
    </xf>
    <xf numFmtId="0" fontId="12" fillId="5" borderId="14" applyAlignment="1" pivotButton="0" quotePrefix="0" xfId="0">
      <alignment horizontal="center" vertical="center" wrapText="1"/>
    </xf>
    <xf numFmtId="0" fontId="12" fillId="5" borderId="7" applyAlignment="1" pivotButton="0" quotePrefix="0" xfId="0">
      <alignment horizontal="center" vertical="center" wrapText="1"/>
    </xf>
    <xf numFmtId="0" fontId="12" fillId="5" borderId="23" applyAlignment="1" pivotButton="0" quotePrefix="0" xfId="0">
      <alignment horizontal="center" vertical="center" wrapText="1"/>
    </xf>
    <xf numFmtId="0" fontId="13" fillId="4" borderId="13" applyAlignment="1" pivotButton="0" quotePrefix="0" xfId="0">
      <alignment horizontal="center" vertical="center"/>
    </xf>
    <xf numFmtId="0" fontId="13" fillId="4" borderId="15" applyAlignment="1" pivotButton="0" quotePrefix="0" xfId="0">
      <alignment horizontal="center" vertical="center"/>
    </xf>
    <xf numFmtId="0" fontId="13" fillId="4" borderId="18" applyAlignment="1" pivotButton="0" quotePrefix="0" xfId="0">
      <alignment horizontal="center" vertical="center"/>
    </xf>
    <xf numFmtId="0" fontId="13" fillId="4" borderId="24" applyAlignment="1" pivotButton="0" quotePrefix="0" xfId="0">
      <alignment horizontal="center" vertical="center"/>
    </xf>
    <xf numFmtId="168" fontId="12" fillId="5" borderId="16" applyAlignment="1" pivotButton="0" quotePrefix="0" xfId="0">
      <alignment horizontal="center" vertical="center" wrapText="1"/>
    </xf>
    <xf numFmtId="168" fontId="12" fillId="5" borderId="19" applyAlignment="1" pivotButton="0" quotePrefix="0" xfId="0">
      <alignment horizontal="center" vertical="center"/>
    </xf>
    <xf numFmtId="168" fontId="12" fillId="5" borderId="25" applyAlignment="1" pivotButton="0" quotePrefix="0" xfId="0">
      <alignment horizontal="center" vertical="center"/>
    </xf>
    <xf numFmtId="0" fontId="13" fillId="4" borderId="6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/>
    </xf>
    <xf numFmtId="0" fontId="12" fillId="5" borderId="22" applyAlignment="1" pivotButton="0" quotePrefix="0" xfId="0">
      <alignment horizontal="center" vertical="center"/>
    </xf>
    <xf numFmtId="0" fontId="7" fillId="7" borderId="6" applyAlignment="1" pivotButton="0" quotePrefix="0" xfId="0">
      <alignment horizontal="center" vertical="center"/>
    </xf>
    <xf numFmtId="0" fontId="7" fillId="7" borderId="9" applyAlignment="1" pivotButton="0" quotePrefix="0" xfId="0">
      <alignment horizontal="center" vertical="center"/>
    </xf>
    <xf numFmtId="0" fontId="7" fillId="7" borderId="3" applyAlignment="1" pivotButton="0" quotePrefix="0" xfId="0">
      <alignment horizontal="center" vertical="center"/>
    </xf>
    <xf numFmtId="0" fontId="7" fillId="7" borderId="5" applyAlignment="1" pivotButton="0" quotePrefix="0" xfId="0">
      <alignment horizontal="center" vertical="center"/>
    </xf>
    <xf numFmtId="0" fontId="7" fillId="8" borderId="6" applyAlignment="1" pivotButton="0" quotePrefix="0" xfId="0">
      <alignment horizontal="center" vertical="center"/>
    </xf>
    <xf numFmtId="0" fontId="7" fillId="8" borderId="9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0" fillId="0" borderId="0" pivotButton="0" quotePrefix="0" xfId="0"/>
    <xf numFmtId="166" fontId="23" fillId="4" borderId="11" applyAlignment="1" pivotButton="0" quotePrefix="0" xfId="0">
      <alignment horizontal="center" vertical="center"/>
    </xf>
    <xf numFmtId="0" fontId="0" fillId="0" borderId="55" pivotButton="0" quotePrefix="0" xfId="0"/>
    <xf numFmtId="0" fontId="0" fillId="0" borderId="12" pivotButton="0" quotePrefix="0" xfId="0"/>
    <xf numFmtId="166" fontId="23" fillId="4" borderId="12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1" pivotButton="0" quotePrefix="0" xfId="0"/>
    <xf numFmtId="0" fontId="0" fillId="0" borderId="68" pivotButton="0" quotePrefix="0" xfId="0"/>
    <xf numFmtId="0" fontId="0" fillId="0" borderId="9" pivotButton="0" quotePrefix="0" xfId="0"/>
    <xf numFmtId="170" fontId="23" fillId="0" borderId="36" applyAlignment="1" pivotButton="0" quotePrefix="0" xfId="5">
      <alignment vertical="center"/>
    </xf>
    <xf numFmtId="170" fontId="23" fillId="0" borderId="37" applyAlignment="1" pivotButton="0" quotePrefix="0" xfId="5">
      <alignment vertical="center"/>
    </xf>
    <xf numFmtId="170" fontId="23" fillId="0" borderId="14" applyAlignment="1" pivotButton="0" quotePrefix="0" xfId="5">
      <alignment vertical="center"/>
    </xf>
    <xf numFmtId="170" fontId="23" fillId="0" borderId="38" applyAlignment="1" pivotButton="0" quotePrefix="0" xfId="5">
      <alignment vertical="center"/>
    </xf>
    <xf numFmtId="170" fontId="23" fillId="0" borderId="39" applyAlignment="1" pivotButton="0" quotePrefix="0" xfId="5">
      <alignment vertical="center"/>
    </xf>
    <xf numFmtId="170" fontId="23" fillId="0" borderId="40" applyAlignment="1" pivotButton="0" quotePrefix="0" xfId="5">
      <alignment vertical="center"/>
    </xf>
    <xf numFmtId="170" fontId="23" fillId="0" borderId="42" applyAlignment="1" pivotButton="0" quotePrefix="0" xfId="5">
      <alignment vertical="center"/>
    </xf>
    <xf numFmtId="170" fontId="23" fillId="0" borderId="43" applyAlignment="1" pivotButton="0" quotePrefix="0" xfId="5">
      <alignment vertical="center"/>
    </xf>
    <xf numFmtId="170" fontId="23" fillId="0" borderId="56" applyAlignment="1" pivotButton="0" quotePrefix="0" xfId="5">
      <alignment vertical="center"/>
    </xf>
    <xf numFmtId="170" fontId="23" fillId="0" borderId="44" applyAlignment="1" pivotButton="0" quotePrefix="0" xfId="5">
      <alignment vertical="center"/>
    </xf>
    <xf numFmtId="170" fontId="23" fillId="0" borderId="45" applyAlignment="1" pivotButton="0" quotePrefix="0" xfId="5">
      <alignment vertical="center"/>
    </xf>
    <xf numFmtId="170" fontId="23" fillId="0" borderId="48" applyAlignment="1" pivotButton="0" quotePrefix="0" xfId="5">
      <alignment vertical="center"/>
    </xf>
    <xf numFmtId="170" fontId="23" fillId="0" borderId="49" applyAlignment="1" pivotButton="0" quotePrefix="0" xfId="5">
      <alignment vertical="center"/>
    </xf>
    <xf numFmtId="170" fontId="23" fillId="0" borderId="57" applyAlignment="1" pivotButton="0" quotePrefix="0" xfId="5">
      <alignment vertical="center"/>
    </xf>
    <xf numFmtId="170" fontId="23" fillId="0" borderId="50" applyAlignment="1" pivotButton="0" quotePrefix="0" xfId="5">
      <alignment vertical="center"/>
    </xf>
    <xf numFmtId="170" fontId="23" fillId="0" borderId="51" applyAlignment="1" pivotButton="0" quotePrefix="0" xfId="5">
      <alignment vertical="center"/>
    </xf>
    <xf numFmtId="170" fontId="23" fillId="10" borderId="26" applyAlignment="1" pivotButton="0" quotePrefix="0" xfId="5">
      <alignment vertical="center"/>
    </xf>
    <xf numFmtId="170" fontId="23" fillId="10" borderId="28" applyAlignment="1" pivotButton="0" quotePrefix="0" xfId="5">
      <alignment vertical="center"/>
    </xf>
    <xf numFmtId="170" fontId="23" fillId="10" borderId="29" applyAlignment="1" pivotButton="0" quotePrefix="0" xfId="5">
      <alignment vertical="center"/>
    </xf>
    <xf numFmtId="170" fontId="23" fillId="10" borderId="27" applyAlignment="1" pivotButton="0" quotePrefix="0" xfId="5">
      <alignment vertical="center"/>
    </xf>
    <xf numFmtId="170" fontId="23" fillId="10" borderId="54" applyAlignment="1" pivotButton="0" quotePrefix="0" xfId="5">
      <alignment vertical="center"/>
    </xf>
    <xf numFmtId="166" fontId="0" fillId="0" borderId="0" applyAlignment="1" pivotButton="0" quotePrefix="0" xfId="0">
      <alignment horizontal="center" vertical="center"/>
    </xf>
    <xf numFmtId="169" fontId="0" fillId="0" borderId="0" applyAlignment="1" pivotButton="0" quotePrefix="0" xfId="5">
      <alignment vertical="center"/>
    </xf>
    <xf numFmtId="166" fontId="0" fillId="0" borderId="26" applyAlignment="1" pivotButton="0" quotePrefix="0" xfId="0">
      <alignment horizontal="center" vertical="center"/>
    </xf>
    <xf numFmtId="169" fontId="13" fillId="4" borderId="28" applyAlignment="1" pivotButton="0" quotePrefix="0" xfId="5">
      <alignment horizontal="center" vertical="center"/>
    </xf>
    <xf numFmtId="169" fontId="12" fillId="5" borderId="29" applyAlignment="1" pivotButton="0" quotePrefix="0" xfId="5">
      <alignment horizontal="center" vertical="center"/>
    </xf>
    <xf numFmtId="169" fontId="21" fillId="10" borderId="29" applyAlignment="1" pivotButton="0" quotePrefix="0" xfId="5">
      <alignment horizontal="center" vertical="center"/>
    </xf>
    <xf numFmtId="166" fontId="0" fillId="0" borderId="9" applyAlignment="1" pivotButton="0" quotePrefix="0" xfId="0">
      <alignment horizontal="center" vertical="center"/>
    </xf>
    <xf numFmtId="169" fontId="0" fillId="0" borderId="2" applyAlignment="1" pivotButton="0" quotePrefix="0" xfId="5">
      <alignment vertical="center"/>
    </xf>
    <xf numFmtId="169" fontId="0" fillId="0" borderId="9" applyAlignment="1" pivotButton="0" quotePrefix="0" xfId="5">
      <alignment vertical="center"/>
    </xf>
    <xf numFmtId="166" fontId="0" fillId="0" borderId="2" applyAlignment="1" pivotButton="0" quotePrefix="0" xfId="0">
      <alignment horizontal="center" vertical="center"/>
    </xf>
    <xf numFmtId="166" fontId="22" fillId="0" borderId="2" applyAlignment="1" pivotButton="0" quotePrefix="0" xfId="0">
      <alignment horizontal="center" vertical="center"/>
    </xf>
    <xf numFmtId="169" fontId="22" fillId="0" borderId="2" applyAlignment="1" pivotButton="0" quotePrefix="0" xfId="5">
      <alignment vertical="center"/>
    </xf>
    <xf numFmtId="169" fontId="22" fillId="0" borderId="9" applyAlignment="1" pivotButton="0" quotePrefix="0" xfId="5">
      <alignment vertical="center"/>
    </xf>
    <xf numFmtId="166" fontId="0" fillId="0" borderId="3" applyAlignment="1" pivotButton="0" quotePrefix="0" xfId="0">
      <alignment horizontal="center" vertical="center"/>
    </xf>
    <xf numFmtId="164" fontId="2" fillId="2" borderId="2" applyAlignment="1" pivotButton="0" quotePrefix="0" xfId="2">
      <alignment horizontal="center" vertical="center"/>
    </xf>
    <xf numFmtId="166" fontId="0" fillId="0" borderId="6" applyAlignment="1" pivotButton="0" quotePrefix="0" xfId="0">
      <alignment horizontal="center" vertical="center"/>
    </xf>
    <xf numFmtId="169" fontId="0" fillId="0" borderId="6" applyAlignment="1" pivotButton="0" quotePrefix="0" xfId="5">
      <alignment vertical="center"/>
    </xf>
    <xf numFmtId="168" fontId="0" fillId="0" borderId="0" applyAlignment="1" pivotButton="0" quotePrefix="0" xfId="0">
      <alignment horizontal="center" vertical="center"/>
    </xf>
    <xf numFmtId="166" fontId="12" fillId="5" borderId="11" applyAlignment="1" pivotButton="0" quotePrefix="0" xfId="0">
      <alignment horizontal="center" vertical="center" wrapText="1"/>
    </xf>
    <xf numFmtId="0" fontId="12" fillId="5" borderId="28" applyAlignment="1" pivotButton="0" quotePrefix="0" xfId="0">
      <alignment horizontal="center" vertical="center" wrapText="1"/>
    </xf>
    <xf numFmtId="168" fontId="12" fillId="5" borderId="16" applyAlignment="1" pivotButton="0" quotePrefix="0" xfId="0">
      <alignment horizontal="center" vertical="center" wrapText="1"/>
    </xf>
    <xf numFmtId="0" fontId="0" fillId="0" borderId="67" pivotButton="0" quotePrefix="0" xfId="0"/>
    <xf numFmtId="0" fontId="0" fillId="0" borderId="73" pivotButton="0" quotePrefix="0" xfId="0"/>
    <xf numFmtId="0" fontId="0" fillId="0" borderId="7" pivotButton="0" quotePrefix="0" xfId="0"/>
    <xf numFmtId="0" fontId="0" fillId="0" borderId="69" pivotButton="0" quotePrefix="0" xfId="0"/>
    <xf numFmtId="0" fontId="0" fillId="0" borderId="71" pivotButton="0" quotePrefix="0" xfId="0"/>
    <xf numFmtId="0" fontId="0" fillId="0" borderId="8" pivotButton="0" quotePrefix="0" xfId="0"/>
    <xf numFmtId="0" fontId="0" fillId="0" borderId="23" pivotButton="0" quotePrefix="0" xfId="0"/>
    <xf numFmtId="0" fontId="0" fillId="0" borderId="70" pivotButton="0" quotePrefix="0" xfId="0"/>
    <xf numFmtId="0" fontId="0" fillId="0" borderId="72" pivotButton="0" quotePrefix="0" xfId="0"/>
    <xf numFmtId="169" fontId="0" fillId="0" borderId="2" applyAlignment="1" pivotButton="0" quotePrefix="0" xfId="5">
      <alignment horizontal="center" vertical="center"/>
    </xf>
    <xf numFmtId="168" fontId="0" fillId="0" borderId="2" applyAlignment="1" pivotButton="0" quotePrefix="0" xfId="0">
      <alignment horizontal="center" vertical="center"/>
    </xf>
    <xf numFmtId="169" fontId="0" fillId="0" borderId="2" applyAlignment="1" pivotButton="0" quotePrefix="1" xfId="5">
      <alignment vertical="center"/>
    </xf>
    <xf numFmtId="164" fontId="2" fillId="2" borderId="0" applyAlignment="1" pivotButton="0" quotePrefix="0" xfId="2">
      <alignment horizontal="center" vertical="center"/>
    </xf>
    <xf numFmtId="164" fontId="2" fillId="2" borderId="0" applyAlignment="1" pivotButton="0" quotePrefix="0" xfId="2">
      <alignment horizontal="left" vertical="center"/>
    </xf>
    <xf numFmtId="166" fontId="2" fillId="2" borderId="0" applyAlignment="1" pivotButton="0" quotePrefix="0" xfId="2">
      <alignment horizontal="center" vertical="center"/>
    </xf>
    <xf numFmtId="165" fontId="5" fillId="2" borderId="0" applyAlignment="1" pivotButton="0" quotePrefix="0" xfId="3">
      <alignment vertical="center"/>
    </xf>
    <xf numFmtId="166" fontId="7" fillId="4" borderId="17" applyAlignment="1" pivotButton="0" quotePrefix="1" xfId="0">
      <alignment horizontal="center" vertical="center"/>
    </xf>
    <xf numFmtId="0" fontId="0" fillId="0" borderId="64" pivotButton="0" quotePrefix="0" xfId="0"/>
    <xf numFmtId="0" fontId="0" fillId="0" borderId="10" pivotButton="0" quotePrefix="0" xfId="0"/>
    <xf numFmtId="170" fontId="7" fillId="0" borderId="36" applyAlignment="1" pivotButton="0" quotePrefix="0" xfId="5">
      <alignment vertical="center"/>
    </xf>
    <xf numFmtId="170" fontId="7" fillId="0" borderId="14" applyAlignment="1" pivotButton="0" quotePrefix="0" xfId="5">
      <alignment vertical="center"/>
    </xf>
    <xf numFmtId="170" fontId="2" fillId="0" borderId="37" applyAlignment="1" pivotButton="0" quotePrefix="0" xfId="5">
      <alignment vertical="center"/>
    </xf>
    <xf numFmtId="170" fontId="7" fillId="0" borderId="37" applyAlignment="1" pivotButton="0" quotePrefix="0" xfId="5">
      <alignment vertical="center"/>
    </xf>
    <xf numFmtId="170" fontId="7" fillId="0" borderId="42" applyAlignment="1" pivotButton="0" quotePrefix="0" xfId="5">
      <alignment vertical="center"/>
    </xf>
    <xf numFmtId="170" fontId="7" fillId="0" borderId="43" applyAlignment="1" pivotButton="0" quotePrefix="0" xfId="5">
      <alignment vertical="center"/>
    </xf>
    <xf numFmtId="170" fontId="2" fillId="0" borderId="43" applyAlignment="1" pivotButton="0" quotePrefix="0" xfId="5">
      <alignment vertical="center"/>
    </xf>
    <xf numFmtId="170" fontId="7" fillId="0" borderId="48" applyAlignment="1" pivotButton="0" quotePrefix="0" xfId="5">
      <alignment vertical="center"/>
    </xf>
    <xf numFmtId="170" fontId="7" fillId="0" borderId="49" applyAlignment="1" pivotButton="0" quotePrefix="0" xfId="5">
      <alignment vertical="center"/>
    </xf>
    <xf numFmtId="170" fontId="2" fillId="0" borderId="49" applyAlignment="1" pivotButton="0" quotePrefix="0" xfId="5">
      <alignment vertical="center"/>
    </xf>
    <xf numFmtId="170" fontId="7" fillId="10" borderId="30" applyAlignment="1" pivotButton="0" quotePrefix="0" xfId="5">
      <alignment vertical="center"/>
    </xf>
    <xf numFmtId="170" fontId="7" fillId="10" borderId="31" applyAlignment="1" pivotButton="0" quotePrefix="0" xfId="5">
      <alignment vertical="center"/>
    </xf>
    <xf numFmtId="170" fontId="2" fillId="10" borderId="31" applyAlignment="1" pivotButton="0" quotePrefix="0" xfId="5">
      <alignment vertical="center"/>
    </xf>
    <xf numFmtId="170" fontId="2" fillId="10" borderId="13" applyAlignment="1" pivotButton="0" quotePrefix="0" xfId="5">
      <alignment vertical="center"/>
    </xf>
    <xf numFmtId="170" fontId="7" fillId="10" borderId="55" applyAlignment="1" pivotButton="0" quotePrefix="0" xfId="5">
      <alignment vertical="center"/>
    </xf>
    <xf numFmtId="170" fontId="7" fillId="10" borderId="13" applyAlignment="1" pivotButton="0" quotePrefix="0" xfId="5">
      <alignment vertical="center"/>
    </xf>
    <xf numFmtId="170" fontId="7" fillId="10" borderId="12" applyAlignment="1" pivotButton="0" quotePrefix="0" xfId="5">
      <alignment vertical="center"/>
    </xf>
    <xf numFmtId="164" fontId="11" fillId="2" borderId="0" applyAlignment="1" pivotButton="0" quotePrefix="0" xfId="2">
      <alignment horizontal="center" vertical="center"/>
    </xf>
    <xf numFmtId="164" fontId="2" fillId="2" borderId="1" applyAlignment="1" pivotButton="0" quotePrefix="0" xfId="2">
      <alignment vertical="center"/>
    </xf>
    <xf numFmtId="164" fontId="2" fillId="2" borderId="1" applyAlignment="1" pivotButton="0" quotePrefix="0" xfId="2">
      <alignment horizontal="center" vertical="center"/>
    </xf>
    <xf numFmtId="164" fontId="2" fillId="2" borderId="1" applyAlignment="1" pivotButton="0" quotePrefix="0" xfId="2">
      <alignment horizontal="left" vertical="center"/>
    </xf>
    <xf numFmtId="164" fontId="7" fillId="2" borderId="1" applyAlignment="1" pivotButton="0" quotePrefix="0" xfId="2">
      <alignment horizontal="center" vertical="center"/>
    </xf>
    <xf numFmtId="164" fontId="8" fillId="3" borderId="1" applyAlignment="1" pivotButton="0" quotePrefix="0" xfId="2">
      <alignment horizontal="center" vertical="center"/>
    </xf>
    <xf numFmtId="0" fontId="0" fillId="0" borderId="1" pivotButton="0" quotePrefix="0" xfId="0"/>
    <xf numFmtId="164" fontId="7" fillId="4" borderId="2" applyAlignment="1" pivotButton="0" quotePrefix="0" xfId="2">
      <alignment horizontal="center" vertical="center"/>
    </xf>
    <xf numFmtId="164" fontId="9" fillId="5" borderId="2" applyAlignment="1" pivotButton="0" quotePrefix="0" xfId="2">
      <alignment horizontal="center" vertical="center" wrapText="1"/>
    </xf>
    <xf numFmtId="164" fontId="7" fillId="4" borderId="5" applyAlignment="1" pivotButton="0" quotePrefix="0" xfId="2">
      <alignment horizontal="center" vertical="center"/>
    </xf>
    <xf numFmtId="164" fontId="7" fillId="4" borderId="2" applyAlignment="1" pivotButton="0" quotePrefix="0" xfId="2">
      <alignment horizontal="center" vertical="center" wrapText="1"/>
    </xf>
    <xf numFmtId="164" fontId="7" fillId="4" borderId="6" applyAlignment="1" pivotButton="0" quotePrefix="0" xfId="2">
      <alignment horizontal="center" vertical="center"/>
    </xf>
    <xf numFmtId="164" fontId="7" fillId="6" borderId="4" applyAlignment="1" pivotButton="0" quotePrefix="0" xfId="2">
      <alignment horizontal="center" vertical="center"/>
    </xf>
    <xf numFmtId="164" fontId="7" fillId="6" borderId="2" applyAlignment="1" pivotButton="0" quotePrefix="0" xfId="2">
      <alignment horizontal="center" vertical="center"/>
    </xf>
    <xf numFmtId="164" fontId="7" fillId="6" borderId="2" applyAlignment="1" pivotButton="0" quotePrefix="0" xfId="2">
      <alignment horizontal="center" vertical="center" wrapText="1"/>
    </xf>
    <xf numFmtId="171" fontId="9" fillId="5" borderId="2" applyAlignment="1" pivotButton="0" quotePrefix="0" xfId="0">
      <alignment horizontal="center" vertical="center" wrapText="1"/>
    </xf>
    <xf numFmtId="164" fontId="7" fillId="4" borderId="6" applyAlignment="1" pivotButton="0" quotePrefix="0" xfId="2">
      <alignment horizontal="center" vertical="center" wrapText="1"/>
    </xf>
    <xf numFmtId="164" fontId="7" fillId="4" borderId="7" applyAlignment="1" pivotButton="0" quotePrefix="0" xfId="2">
      <alignment horizontal="center" vertical="center"/>
    </xf>
    <xf numFmtId="164" fontId="7" fillId="6" borderId="6" applyAlignment="1" pivotButton="0" quotePrefix="0" xfId="2">
      <alignment horizontal="center" vertical="center"/>
    </xf>
    <xf numFmtId="164" fontId="10" fillId="2" borderId="2" applyAlignment="1" pivotButton="0" quotePrefix="0" xfId="2">
      <alignment horizontal="center" vertical="center"/>
    </xf>
    <xf numFmtId="166" fontId="10" fillId="2" borderId="9" applyAlignment="1" pivotButton="0" quotePrefix="0" xfId="0">
      <alignment horizontal="center" vertical="center"/>
    </xf>
    <xf numFmtId="164" fontId="10" fillId="2" borderId="2" applyAlignment="1" pivotButton="0" quotePrefix="0" xfId="2">
      <alignment vertical="center"/>
    </xf>
    <xf numFmtId="164" fontId="10" fillId="2" borderId="8" applyAlignment="1" pivotButton="0" quotePrefix="0" xfId="2">
      <alignment horizontal="center" vertical="center"/>
    </xf>
    <xf numFmtId="164" fontId="10" fillId="2" borderId="2" applyAlignment="1" pivotButton="0" quotePrefix="0" xfId="1">
      <alignment horizontal="center" vertical="center"/>
    </xf>
    <xf numFmtId="171" fontId="26" fillId="2" borderId="2" applyAlignment="1" pivotButton="0" quotePrefix="0" xfId="0">
      <alignment horizontal="center" vertical="center"/>
    </xf>
    <xf numFmtId="164" fontId="26" fillId="2" borderId="2" applyAlignment="1" pivotButton="0" quotePrefix="0" xfId="2">
      <alignment horizontal="center" vertical="center"/>
    </xf>
    <xf numFmtId="164" fontId="26" fillId="2" borderId="0" applyAlignment="1" pivotButton="0" quotePrefix="0" xfId="2">
      <alignment horizontal="left" vertical="center"/>
    </xf>
    <xf numFmtId="164" fontId="26" fillId="2" borderId="0" applyAlignment="1" pivotButton="0" quotePrefix="0" xfId="2">
      <alignment horizontal="center" vertical="center"/>
    </xf>
    <xf numFmtId="166" fontId="10" fillId="2" borderId="2" applyAlignment="1" pivotButton="0" quotePrefix="0" xfId="0">
      <alignment horizontal="center" vertical="center"/>
    </xf>
    <xf numFmtId="166" fontId="10" fillId="0" borderId="9" applyAlignment="1" pivotButton="0" quotePrefix="0" xfId="0">
      <alignment horizontal="center" vertical="center"/>
    </xf>
    <xf numFmtId="164" fontId="10" fillId="0" borderId="2" applyAlignment="1" pivotButton="0" quotePrefix="0" xfId="2">
      <alignment vertical="center"/>
    </xf>
    <xf numFmtId="164" fontId="27" fillId="2" borderId="2" applyAlignment="1" pivotButton="0" quotePrefix="0" xfId="2">
      <alignment horizontal="center" vertical="center"/>
    </xf>
    <xf numFmtId="166" fontId="10" fillId="2" borderId="8" applyAlignment="1" pivotButton="0" quotePrefix="0" xfId="0">
      <alignment horizontal="center" vertical="center"/>
    </xf>
    <xf numFmtId="164" fontId="27" fillId="2" borderId="8" applyAlignment="1" pivotButton="0" quotePrefix="0" xfId="2">
      <alignment horizontal="center" vertical="center"/>
    </xf>
    <xf numFmtId="164" fontId="2" fillId="0" borderId="0" applyAlignment="1" pivotButton="0" quotePrefix="0" xfId="2">
      <alignment horizontal="center" vertical="center"/>
    </xf>
    <xf numFmtId="0" fontId="7" fillId="8" borderId="2" applyAlignment="1" pivotButton="0" quotePrefix="0" xfId="0">
      <alignment horizontal="center" vertical="center"/>
    </xf>
    <xf numFmtId="164" fontId="2" fillId="9" borderId="2" applyAlignment="1" pivotButton="0" quotePrefix="0" xfId="1">
      <alignment horizontal="right" vertical="center"/>
    </xf>
    <xf numFmtId="164" fontId="2" fillId="4" borderId="9" applyAlignment="1" pivotButton="0" quotePrefix="0" xfId="1">
      <alignment horizontal="right" vertical="center"/>
    </xf>
    <xf numFmtId="164" fontId="2" fillId="2" borderId="2" applyAlignment="1" pivotButton="0" quotePrefix="0" xfId="1">
      <alignment horizontal="right" vertical="center"/>
    </xf>
    <xf numFmtId="164" fontId="2" fillId="0" borderId="2" applyAlignment="1" pivotButton="0" quotePrefix="0" xfId="1">
      <alignment horizontal="right" vertical="center"/>
    </xf>
    <xf numFmtId="0" fontId="2" fillId="2" borderId="2" applyAlignment="1" pivotButton="0" quotePrefix="0" xfId="0">
      <alignment horizontal="center" vertical="center"/>
    </xf>
    <xf numFmtId="167" fontId="2" fillId="0" borderId="2" applyAlignment="1" pivotButton="0" quotePrefix="0" xfId="4">
      <alignment horizontal="center" vertical="center"/>
    </xf>
    <xf numFmtId="167" fontId="2" fillId="0" borderId="2" applyAlignment="1" pivotButton="0" quotePrefix="0" xfId="4">
      <alignment horizontal="left" vertical="center"/>
    </xf>
    <xf numFmtId="167" fontId="2" fillId="0" borderId="9" applyAlignment="1" pivotButton="0" quotePrefix="0" xfId="4">
      <alignment horizontal="center" vertical="center"/>
    </xf>
    <xf numFmtId="166" fontId="13" fillId="4" borderId="2" applyAlignment="1" pivotButton="0" quotePrefix="0" xfId="0">
      <alignment horizontal="center" vertical="center"/>
    </xf>
    <xf numFmtId="169" fontId="0" fillId="0" borderId="0" applyAlignment="1" pivotButton="0" quotePrefix="0" xfId="0">
      <alignment vertical="center"/>
    </xf>
    <xf numFmtId="172" fontId="0" fillId="0" borderId="0" pivotButton="0" quotePrefix="0" xfId="0"/>
    <xf numFmtId="173" fontId="0" fillId="0" borderId="0" pivotButton="0" quotePrefix="0" xfId="0"/>
  </cellXfs>
  <cellStyles count="7">
    <cellStyle name="표준" xfId="0" builtinId="0"/>
    <cellStyle name="쉼표 [0]" xfId="1" builtinId="6"/>
    <cellStyle name="쉼표 [0] 3" xfId="2"/>
    <cellStyle name="표준 3 3" xfId="3"/>
    <cellStyle name="표준 3" xfId="4"/>
    <cellStyle name="통화 [0]" xfId="5" builtinId="7"/>
    <cellStyle name="쉼표 [0] 3 2" xfId="6"/>
  </cellStyles>
  <dxfs count="13"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0000FF"/>
        </patternFill>
      </fill>
    </dxf>
    <dxf>
      <font>
        <b val="1"/>
        <color theme="0"/>
      </font>
      <fill>
        <patternFill>
          <bgColor rgb="FF0000FF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externalLink" Target="/xl/externalLinks/externalLink1.xml" Id="rId11"/><Relationship Type="http://schemas.openxmlformats.org/officeDocument/2006/relationships/externalLink" Target="/xl/externalLinks/externalLink2.xml" Id="rId12"/><Relationship Type="http://schemas.openxmlformats.org/officeDocument/2006/relationships/externalLink" Target="/xl/externalLinks/externalLink3.xml" Id="rId13"/><Relationship Type="http://schemas.openxmlformats.org/officeDocument/2006/relationships/externalLink" Target="/xl/externalLinks/externalLink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박종석(Jong Seok Park)[jaypark]</author>
  </authors>
  <commentList>
    <comment ref="Y2" authorId="0" shapeId="0">
      <text>
        <t>완료 : 1
예정 : 2</t>
      </text>
    </comment>
    <comment ref="P4" authorId="0" shapeId="0">
      <text>
        <t>① 비자발급비
② 예방접종비(출입국 시 필수적으로 요구하는 경우에 한함)
③ 법정 감염병 진단검사비 (출입국 시 필수적으로 요구하는 경우에 한함)
④ 사전 준비를 위한 부대비용 (택시비 등)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../../../../msteams_3b0382/Shared%20Documents/&#52636;&#51109;&#44288;&#47532;/2025-_25&#45380;%20&#51228;&#51312;DX&#44536;&#47353;%20&#54644;&#50808;%20&#52636;&#51109;&#48708;%20&#44288;&#47532;_v1.1_&#51228;&#51312;DX&#44592;&#54925;&#54016;_250403.xlsx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D:\Downloads\(&#50629;&#45936;&#51060;&#53944;)%2025&#45380;%20&#51228;&#51312;DX&#44536;&#47353;%20&#54644;&#50808;%20&#52636;&#51109;%20&#44228;&#54925;_&#51089;&#49457;&#50857;_250310%20(1)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https://lgensol365-my.sharepoint.com/personal/hwawon_lgensol_com/Documents/Microsoft%20Teams%20&#52292;&#54021;%20&#54028;&#51068;/(&#50629;&#45936;&#51060;&#53944;)%2025&#45380;%20&#51228;&#51312;DX&#44536;&#47353;%20&#54644;&#50808;%20&#52636;&#51109;%20&#44228;&#54925;_&#51089;&#49457;&#50857;_250310%20(1)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https://lgensol365-my.sharepoint.com/Downloads/(&#50629;&#45936;&#51060;&#53944;)%2025&#45380;%20&#51228;&#51312;DX&#44536;&#47353;%20&#54644;&#50808;%20&#52636;&#51109;%20&#44228;&#54925;_&#51089;&#49457;&#50857;_250310%20(1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(신규) Summary"/>
      <sheetName val="Summary"/>
      <sheetName val="집행(ERS)"/>
      <sheetName val="Raw(품의)"/>
      <sheetName val="25년 계획(품의전)"/>
      <sheetName val="예산"/>
    </sheetNames>
    <sheetDataSet>
      <sheetData sheetId="0" refreshError="1"/>
      <sheetData sheetId="1" refreshError="1"/>
      <sheetData sheetId="2" refreshError="1"/>
      <sheetData sheetId="3" refreshError="1">
        <row r="1">
          <cell r="AF1" t="str">
            <v>제조DX솔루션</v>
          </cell>
        </row>
        <row r="2">
          <cell r="AF2" t="str">
            <v>자동보정</v>
          </cell>
        </row>
        <row r="3">
          <cell r="AF3" t="str">
            <v>FDC DX</v>
          </cell>
        </row>
        <row r="4">
          <cell r="AF4" t="str">
            <v>품질DX</v>
          </cell>
        </row>
      </sheetData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25년 계획(품의전)"/>
      <sheetName val="25년 출장계획 작성"/>
      <sheetName val="참고. 출장비 단가"/>
    </sheetNames>
    <sheetDataSet>
      <sheetData sheetId="0"/>
      <sheetData sheetId="1"/>
      <sheetData sheetId="2">
        <row r="7">
          <cell r="B7" t="str">
            <v>미주</v>
          </cell>
          <cell r="C7">
            <v>10000000</v>
          </cell>
          <cell r="D7">
            <v>5000000</v>
          </cell>
          <cell r="E7">
            <v>200000</v>
          </cell>
          <cell r="F7">
            <v>150000</v>
          </cell>
        </row>
        <row r="8">
          <cell r="B8" t="str">
            <v>인도네시아</v>
          </cell>
          <cell r="C8">
            <v>5000000</v>
          </cell>
          <cell r="D8">
            <v>2500000</v>
          </cell>
          <cell r="E8">
            <v>80000</v>
          </cell>
          <cell r="F8">
            <v>150000</v>
          </cell>
        </row>
        <row r="9">
          <cell r="B9" t="str">
            <v>일본</v>
          </cell>
          <cell r="C9">
            <v>1000000</v>
          </cell>
          <cell r="D9">
            <v>1000000</v>
          </cell>
          <cell r="E9">
            <v>80000</v>
          </cell>
          <cell r="F9">
            <v>115000</v>
          </cell>
        </row>
        <row r="10">
          <cell r="B10" t="str">
            <v>중국</v>
          </cell>
          <cell r="C10">
            <v>1000000</v>
          </cell>
          <cell r="D10">
            <v>1000000</v>
          </cell>
          <cell r="E10">
            <v>80000</v>
          </cell>
          <cell r="F10">
            <v>105000</v>
          </cell>
        </row>
        <row r="11">
          <cell r="B11" t="str">
            <v>폴란드</v>
          </cell>
          <cell r="C11">
            <v>9000000</v>
          </cell>
          <cell r="D11">
            <v>4500000</v>
          </cell>
          <cell r="E11">
            <v>150000</v>
          </cell>
          <cell r="F11">
            <v>150000</v>
          </cell>
        </row>
        <row r="12">
          <cell r="B12" t="str">
            <v>호주</v>
          </cell>
          <cell r="C12">
            <v>5000000</v>
          </cell>
          <cell r="D12">
            <v>2500000</v>
          </cell>
          <cell r="E12">
            <v>150000</v>
          </cell>
          <cell r="F12">
            <v>150000</v>
          </cell>
        </row>
        <row r="13">
          <cell r="B13" t="str">
            <v>유럽(폴란드 外)</v>
          </cell>
          <cell r="C13">
            <v>9000000</v>
          </cell>
          <cell r="D13">
            <v>4500000</v>
          </cell>
          <cell r="E13">
            <v>150000</v>
          </cell>
          <cell r="F13">
            <v>150000</v>
          </cell>
        </row>
        <row r="29">
          <cell r="D29">
            <v>24800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25년 계획(품의전)"/>
      <sheetName val="25년 출장계획 작성"/>
      <sheetName val="참고. 출장비 단가"/>
    </sheetNames>
    <sheetDataSet>
      <sheetData sheetId="0"/>
      <sheetData sheetId="1"/>
      <sheetData sheetId="2">
        <row r="7">
          <cell r="B7" t="str">
            <v>미주</v>
          </cell>
          <cell r="C7">
            <v>10000000</v>
          </cell>
          <cell r="D7">
            <v>5000000</v>
          </cell>
          <cell r="E7">
            <v>200000</v>
          </cell>
          <cell r="F7">
            <v>150000</v>
          </cell>
        </row>
        <row r="8">
          <cell r="B8" t="str">
            <v>인도네시아</v>
          </cell>
          <cell r="C8">
            <v>5000000</v>
          </cell>
          <cell r="D8">
            <v>2500000</v>
          </cell>
          <cell r="E8">
            <v>80000</v>
          </cell>
          <cell r="F8">
            <v>150000</v>
          </cell>
        </row>
        <row r="9">
          <cell r="B9" t="str">
            <v>일본</v>
          </cell>
          <cell r="C9">
            <v>1000000</v>
          </cell>
          <cell r="D9">
            <v>1000000</v>
          </cell>
          <cell r="E9">
            <v>80000</v>
          </cell>
          <cell r="F9">
            <v>115000</v>
          </cell>
        </row>
        <row r="10">
          <cell r="B10" t="str">
            <v>중국</v>
          </cell>
          <cell r="C10">
            <v>1000000</v>
          </cell>
          <cell r="D10">
            <v>1000000</v>
          </cell>
          <cell r="E10">
            <v>80000</v>
          </cell>
          <cell r="F10">
            <v>105000</v>
          </cell>
        </row>
        <row r="11">
          <cell r="B11" t="str">
            <v>폴란드</v>
          </cell>
          <cell r="C11">
            <v>9000000</v>
          </cell>
          <cell r="D11">
            <v>4500000</v>
          </cell>
          <cell r="E11">
            <v>150000</v>
          </cell>
          <cell r="F11">
            <v>150000</v>
          </cell>
        </row>
        <row r="12">
          <cell r="B12" t="str">
            <v>호주</v>
          </cell>
          <cell r="C12">
            <v>5000000</v>
          </cell>
          <cell r="D12">
            <v>2500000</v>
          </cell>
          <cell r="E12">
            <v>150000</v>
          </cell>
          <cell r="F12">
            <v>150000</v>
          </cell>
        </row>
        <row r="13">
          <cell r="B13" t="str">
            <v>유럽(폴란드 外)</v>
          </cell>
          <cell r="C13">
            <v>9000000</v>
          </cell>
          <cell r="D13">
            <v>4500000</v>
          </cell>
          <cell r="E13">
            <v>150000</v>
          </cell>
          <cell r="F13">
            <v>150000</v>
          </cell>
        </row>
        <row r="29">
          <cell r="D29">
            <v>24800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25년 계획(품의전)"/>
      <sheetName val="25년 출장계획 작성"/>
      <sheetName val="참고. 출장비 단가"/>
    </sheetNames>
    <sheetDataSet>
      <sheetData sheetId="0" refreshError="1"/>
      <sheetData sheetId="1" refreshError="1"/>
      <sheetData sheetId="2" refreshError="1">
        <row r="7">
          <cell r="B7" t="str">
            <v>미주</v>
          </cell>
          <cell r="C7">
            <v>10000000</v>
          </cell>
          <cell r="D7">
            <v>5000000</v>
          </cell>
          <cell r="E7">
            <v>200000</v>
          </cell>
          <cell r="F7">
            <v>150000</v>
          </cell>
        </row>
        <row r="8">
          <cell r="B8" t="str">
            <v>인도네시아</v>
          </cell>
          <cell r="C8">
            <v>5000000</v>
          </cell>
          <cell r="D8">
            <v>2500000</v>
          </cell>
          <cell r="E8">
            <v>80000</v>
          </cell>
          <cell r="F8">
            <v>150000</v>
          </cell>
        </row>
        <row r="9">
          <cell r="B9" t="str">
            <v>일본</v>
          </cell>
          <cell r="C9">
            <v>1000000</v>
          </cell>
          <cell r="D9">
            <v>1000000</v>
          </cell>
          <cell r="E9">
            <v>80000</v>
          </cell>
          <cell r="F9">
            <v>115000</v>
          </cell>
        </row>
        <row r="10">
          <cell r="B10" t="str">
            <v>중국</v>
          </cell>
          <cell r="C10">
            <v>1000000</v>
          </cell>
          <cell r="D10">
            <v>1000000</v>
          </cell>
          <cell r="E10">
            <v>80000</v>
          </cell>
          <cell r="F10">
            <v>105000</v>
          </cell>
        </row>
        <row r="11">
          <cell r="B11" t="str">
            <v>폴란드</v>
          </cell>
          <cell r="C11">
            <v>9000000</v>
          </cell>
          <cell r="D11">
            <v>4500000</v>
          </cell>
          <cell r="E11">
            <v>150000</v>
          </cell>
          <cell r="F11">
            <v>150000</v>
          </cell>
        </row>
        <row r="12">
          <cell r="B12" t="str">
            <v>호주</v>
          </cell>
          <cell r="C12">
            <v>5000000</v>
          </cell>
          <cell r="D12">
            <v>2500000</v>
          </cell>
          <cell r="E12">
            <v>150000</v>
          </cell>
          <cell r="F12">
            <v>150000</v>
          </cell>
        </row>
        <row r="13">
          <cell r="B13" t="str">
            <v>유럽(폴란드 外)</v>
          </cell>
          <cell r="C13">
            <v>9000000</v>
          </cell>
          <cell r="D13">
            <v>4500000</v>
          </cell>
          <cell r="E13">
            <v>150000</v>
          </cell>
          <cell r="F13">
            <v>150000</v>
          </cell>
        </row>
        <row r="29">
          <cell r="D29">
            <v>24800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B4:AG11"/>
  <sheetViews>
    <sheetView showGridLines="0" showZeros="0" topLeftCell="K1" zoomScaleNormal="100" workbookViewId="0">
      <selection activeCell="AG8" sqref="AG8"/>
    </sheetView>
  </sheetViews>
  <sheetFormatPr baseColWidth="8" defaultColWidth="9" defaultRowHeight="16.5"/>
  <cols>
    <col width="1.375" customWidth="1" style="72" min="1" max="1"/>
    <col width="13.375" bestFit="1" customWidth="1" style="72" min="2" max="2"/>
    <col width="10.125" customWidth="1" style="72" min="3" max="10"/>
    <col width="11.375" customWidth="1" style="72" min="11" max="11"/>
    <col width="9.25" bestFit="1" customWidth="1" style="72" min="12" max="13"/>
    <col width="10.125" customWidth="1" style="72" min="14" max="16"/>
    <col width="11.125" customWidth="1" style="72" min="17" max="17"/>
    <col width="10.125" bestFit="1" customWidth="1" style="72" min="18" max="18"/>
    <col width="11.375" bestFit="1" customWidth="1" style="72" min="19" max="19"/>
    <col width="9.25" bestFit="1" customWidth="1" style="72" min="20" max="20"/>
    <col width="10.125" bestFit="1" customWidth="1" style="72" min="21" max="24"/>
    <col width="11.125" bestFit="1" customWidth="1" style="72" min="25" max="25"/>
    <col width="10.125" bestFit="1" customWidth="1" style="72" min="26" max="26"/>
    <col width="11.375" bestFit="1" customWidth="1" style="72" min="27" max="27"/>
    <col width="5.25" bestFit="1" customWidth="1" style="72" min="28" max="28"/>
    <col width="7.5" bestFit="1" customWidth="1" style="72" min="29" max="29"/>
    <col width="9.25" bestFit="1" customWidth="1" style="72" min="30" max="31"/>
    <col width="10.125" bestFit="1" customWidth="1" style="72" min="32" max="32"/>
    <col width="11.125" bestFit="1" customWidth="1" style="72" min="33" max="33"/>
    <col width="9" customWidth="1" style="72" min="34" max="16384"/>
  </cols>
  <sheetData>
    <row r="1" ht="7.5" customHeight="1" s="260"/>
    <row r="3" ht="6.75" customHeight="1" s="260" thickBot="1"/>
    <row r="4">
      <c r="B4" s="224" t="inlineStr">
        <is>
          <t>부문</t>
        </is>
      </c>
      <c r="C4" s="261" t="n">
        <v>1</v>
      </c>
      <c r="D4" s="262" t="n"/>
      <c r="E4" s="262" t="n"/>
      <c r="F4" s="262" t="n"/>
      <c r="G4" s="262" t="n"/>
      <c r="H4" s="262" t="n"/>
      <c r="I4" s="263" t="n"/>
      <c r="J4" s="264" t="n">
        <v>2</v>
      </c>
      <c r="K4" s="262" t="n"/>
      <c r="L4" s="262" t="n"/>
      <c r="M4" s="262" t="n"/>
      <c r="N4" s="262" t="n"/>
      <c r="O4" s="262" t="n"/>
      <c r="P4" s="262" t="n"/>
      <c r="Q4" s="263" t="n"/>
      <c r="R4" s="261" t="n">
        <v>3</v>
      </c>
      <c r="S4" s="262" t="n"/>
      <c r="T4" s="262" t="n"/>
      <c r="U4" s="262" t="n"/>
      <c r="V4" s="262" t="n"/>
      <c r="W4" s="262" t="n"/>
      <c r="X4" s="262" t="n"/>
      <c r="Y4" s="263" t="n"/>
      <c r="Z4" s="264" t="n">
        <v>4</v>
      </c>
      <c r="AA4" s="262" t="n"/>
      <c r="AB4" s="262" t="n"/>
      <c r="AC4" s="262" t="n"/>
      <c r="AD4" s="262" t="n"/>
      <c r="AE4" s="262" t="n"/>
      <c r="AF4" s="262" t="n"/>
      <c r="AG4" s="263" t="n"/>
    </row>
    <row r="5">
      <c r="B5" s="265" t="n"/>
      <c r="C5" s="216" t="inlineStr">
        <is>
          <t>예산</t>
        </is>
      </c>
      <c r="D5" s="218" t="inlineStr">
        <is>
          <t>사용</t>
        </is>
      </c>
      <c r="E5" s="218" t="inlineStr">
        <is>
          <t>계획(사용 예정)</t>
        </is>
      </c>
      <c r="F5" s="266" t="n"/>
      <c r="G5" s="267" t="n"/>
      <c r="H5" s="218" t="inlineStr">
        <is>
          <t>잔여</t>
        </is>
      </c>
      <c r="I5" s="267" t="n"/>
      <c r="J5" s="222" t="inlineStr">
        <is>
          <t>예산</t>
        </is>
      </c>
      <c r="K5" s="267" t="n"/>
      <c r="L5" s="218" t="inlineStr">
        <is>
          <t>사용</t>
        </is>
      </c>
      <c r="M5" s="218" t="inlineStr">
        <is>
          <t>계획</t>
        </is>
      </c>
      <c r="N5" s="266" t="n"/>
      <c r="O5" s="267" t="n"/>
      <c r="P5" s="218" t="inlineStr">
        <is>
          <t>잔여</t>
        </is>
      </c>
      <c r="Q5" s="267" t="n"/>
      <c r="R5" s="216" t="inlineStr">
        <is>
          <t>예산</t>
        </is>
      </c>
      <c r="S5" s="267" t="n"/>
      <c r="T5" s="218" t="inlineStr">
        <is>
          <t>사용</t>
        </is>
      </c>
      <c r="U5" s="218" t="inlineStr">
        <is>
          <t>계획</t>
        </is>
      </c>
      <c r="V5" s="266" t="n"/>
      <c r="W5" s="267" t="n"/>
      <c r="X5" s="218" t="inlineStr">
        <is>
          <t>잔여</t>
        </is>
      </c>
      <c r="Y5" s="267" t="n"/>
      <c r="Z5" s="222" t="inlineStr">
        <is>
          <t>예산</t>
        </is>
      </c>
      <c r="AA5" s="267" t="n"/>
      <c r="AB5" s="218" t="inlineStr">
        <is>
          <t>사용</t>
        </is>
      </c>
      <c r="AC5" s="218" t="inlineStr">
        <is>
          <t>계획</t>
        </is>
      </c>
      <c r="AD5" s="266" t="n"/>
      <c r="AE5" s="267" t="n"/>
      <c r="AF5" s="218" t="inlineStr">
        <is>
          <t>잔여</t>
        </is>
      </c>
      <c r="AG5" s="267" t="n"/>
    </row>
    <row r="6" ht="17.25" customHeight="1" s="260" thickBot="1">
      <c r="B6" s="268" t="n"/>
      <c r="C6" s="269" t="n"/>
      <c r="D6" s="270" t="n"/>
      <c r="E6" s="219" t="inlineStr">
        <is>
          <t>품의 후</t>
        </is>
      </c>
      <c r="F6" s="219" t="inlineStr">
        <is>
          <t>품의 전</t>
        </is>
      </c>
      <c r="G6" s="219" t="inlineStr">
        <is>
          <t>소계</t>
        </is>
      </c>
      <c r="H6" s="219" t="inlineStr">
        <is>
          <t>사용 대비</t>
        </is>
      </c>
      <c r="I6" s="74" t="inlineStr">
        <is>
          <t>계획 포함</t>
        </is>
      </c>
      <c r="J6" s="75" t="inlineStr">
        <is>
          <t>예산</t>
        </is>
      </c>
      <c r="K6" s="219" t="inlineStr">
        <is>
          <t>전분기 포함</t>
        </is>
      </c>
      <c r="L6" s="270" t="n"/>
      <c r="M6" s="219" t="inlineStr">
        <is>
          <t>품의 후</t>
        </is>
      </c>
      <c r="N6" s="219" t="inlineStr">
        <is>
          <t>품의 전</t>
        </is>
      </c>
      <c r="O6" s="219" t="inlineStr">
        <is>
          <t>소계</t>
        </is>
      </c>
      <c r="P6" s="219" t="inlineStr">
        <is>
          <t>사용 대비</t>
        </is>
      </c>
      <c r="Q6" s="76" t="inlineStr">
        <is>
          <t>계획 포함</t>
        </is>
      </c>
      <c r="R6" s="217" t="inlineStr">
        <is>
          <t>예산</t>
        </is>
      </c>
      <c r="S6" s="219" t="inlineStr">
        <is>
          <t>전분기 포함</t>
        </is>
      </c>
      <c r="T6" s="270" t="n"/>
      <c r="U6" s="219" t="inlineStr">
        <is>
          <t>품의 후</t>
        </is>
      </c>
      <c r="V6" s="219" t="inlineStr">
        <is>
          <t>품의 전</t>
        </is>
      </c>
      <c r="W6" s="219" t="inlineStr">
        <is>
          <t>소계</t>
        </is>
      </c>
      <c r="X6" s="219" t="inlineStr">
        <is>
          <t>사용 대비</t>
        </is>
      </c>
      <c r="Y6" s="74" t="inlineStr">
        <is>
          <t>계획 포함</t>
        </is>
      </c>
      <c r="Z6" s="75" t="inlineStr">
        <is>
          <t>예산</t>
        </is>
      </c>
      <c r="AA6" s="219" t="inlineStr">
        <is>
          <t>전분기 포함</t>
        </is>
      </c>
      <c r="AB6" s="270" t="n"/>
      <c r="AC6" s="219" t="inlineStr">
        <is>
          <t>품의 후</t>
        </is>
      </c>
      <c r="AD6" s="219" t="inlineStr">
        <is>
          <t>품의 전</t>
        </is>
      </c>
      <c r="AE6" s="219" t="inlineStr">
        <is>
          <t>소계</t>
        </is>
      </c>
      <c r="AF6" s="219" t="inlineStr">
        <is>
          <t>사용 대비</t>
        </is>
      </c>
      <c r="AG6" s="74" t="inlineStr">
        <is>
          <t>계획 포함</t>
        </is>
      </c>
    </row>
    <row r="7">
      <c r="B7" s="78" t="inlineStr">
        <is>
          <t>제조DX솔루션</t>
        </is>
      </c>
      <c r="C7" s="271">
        <f>SUMPRODUCT((예산!$B$3:$B$6='(신규) Summary'!$B7)*(예산!$C$2:$F$2='(신규) Summary'!C$4)*(예산!$C$3:$F$6))</f>
        <v/>
      </c>
      <c r="D7" s="272">
        <f>SUMPRODUCT(('집행(ERS)'!$B$3:$B$493='(신규) Summary'!C$4)*('집행(ERS)'!$C$3:$C$493='(신규) Summary'!$B7)*('집행(ERS)'!$J$3:$J$493))</f>
        <v/>
      </c>
      <c r="E7" s="272">
        <f>SUMPRODUCT(('Raw(품의)'!$B$5:$B$245='(신규) Summary'!C$4)*('Raw(품의)'!$E$5:$E$245='(신규) Summary'!$B7)*('Raw(품의)'!$Y$5:$Y$245=2)*('Raw(품의)'!$V$5:$V$245))</f>
        <v/>
      </c>
      <c r="F7" s="273">
        <f t="array" ref="F7">SUMPRODUCT(('26년 계획(품의전)'!$B$14:$B$418='(신규) Summary'!$B7)*('26년 계획(품의전)'!$E$14:$F$418='(신규) Summary'!C$4)*('26년 계획(품의전)'!$Z$14:$Z$418=2)*('26년 계획(품의전)'!$X$14:$Y$418))</f>
        <v/>
      </c>
      <c r="G7" s="272">
        <f>SUM(E7:F7)</f>
        <v/>
      </c>
      <c r="H7" s="272">
        <f>C7-D7</f>
        <v/>
      </c>
      <c r="I7" s="274">
        <f>C7-D7-G7</f>
        <v/>
      </c>
      <c r="J7" s="275">
        <f>SUMPRODUCT((예산!$B$3:$B$6='(신규) Summary'!$B7)*(예산!$C$2:$F$2='(신규) Summary'!J$4)*(예산!$C$3:$F$6))</f>
        <v/>
      </c>
      <c r="K7" s="272">
        <f>I7+J7</f>
        <v/>
      </c>
      <c r="L7" s="272">
        <f>SUMPRODUCT(('집행(ERS)'!$B$3:$B$493='(신규) Summary'!J$4)*('집행(ERS)'!$C$3:$C$493='(신규) Summary'!$B7)*('집행(ERS)'!$J$3:$J$493))</f>
        <v/>
      </c>
      <c r="M7" s="272">
        <f>SUMPRODUCT(('Raw(품의)'!$B$5:$B$245='(신규) Summary'!J$4)*('Raw(품의)'!$E$5:$E$245='(신규) Summary'!$B7)*('Raw(품의)'!$Y$5:$Y$245=2)*('Raw(품의)'!$V$5:$V$245))</f>
        <v/>
      </c>
      <c r="N7" s="272">
        <f>SUMPRODUCT(('26년 계획(품의전)'!$B$14:$B$418='(신규) Summary'!$B7)*('26년 계획(품의전)'!$E$14:$F$418='(신규) Summary'!J$4)*('26년 계획(품의전)'!$Z$14:$Z$418=2)*('26년 계획(품의전)'!$X$14:$Y$418))</f>
        <v/>
      </c>
      <c r="O7" s="272">
        <f>SUM(M7:N7)</f>
        <v/>
      </c>
      <c r="P7" s="272">
        <f>K7-L7</f>
        <v/>
      </c>
      <c r="Q7" s="276">
        <f>K7-L7-O7</f>
        <v/>
      </c>
      <c r="R7" s="271">
        <f>SUMPRODUCT((예산!$B$3:$B$6='(신규) Summary'!$B7)*(예산!$C$2:$F$2='(신규) Summary'!R$4)*(예산!$C$3:$F$6))</f>
        <v/>
      </c>
      <c r="S7" s="272">
        <f>Q7+R7</f>
        <v/>
      </c>
      <c r="T7" s="272">
        <f>SUMPRODUCT(('집행(ERS)'!$B$3:$B$495='(신규) Summary'!R$4)*('집행(ERS)'!$C$3:$C$495='(신규) Summary'!$B7)*('집행(ERS)'!$J$3:$J$495))</f>
        <v/>
      </c>
      <c r="U7" s="272">
        <f>SUMPRODUCT(('Raw(품의)'!$B$5:$B$251='(신규) Summary'!R$4)*('Raw(품의)'!$E$5:$E$251='(신규) Summary'!$B7)*('Raw(품의)'!$Y$5:$Y$251=2)*('Raw(품의)'!$V$5:$V$251))</f>
        <v/>
      </c>
      <c r="V7" s="272">
        <f>SUMPRODUCT(('26년 계획(품의전)'!$B$14:$B$418='(신규) Summary'!$B7)*('26년 계획(품의전)'!$E$14:$F$418='(신규) Summary'!R$4)*('26년 계획(품의전)'!$Z$14:$Z$418=2)*('26년 계획(품의전)'!$X$14:$Y$418))</f>
        <v/>
      </c>
      <c r="W7" s="272">
        <f>SUM(U7:V7)</f>
        <v/>
      </c>
      <c r="X7" s="272">
        <f>S7-T7</f>
        <v/>
      </c>
      <c r="Y7" s="274">
        <f>S7-T7-W7</f>
        <v/>
      </c>
      <c r="Z7" s="271">
        <f>SUMPRODUCT((예산!$B$3:$B$6='(신규) Summary'!$B7)*(예산!$C$2:$F$2='(신규) Summary'!Z$4)*(예산!$C$3:$F$6))</f>
        <v/>
      </c>
      <c r="AA7" s="272">
        <f>Y7+Z7</f>
        <v/>
      </c>
      <c r="AB7" s="272">
        <f>SUMPRODUCT(('집행(ERS)'!$B$3:$B$495='(신규) Summary'!Z$4)*('집행(ERS)'!$C$3:$C$495='(신규) Summary'!$B7)*('집행(ERS)'!$J$3:$J$495))</f>
        <v/>
      </c>
      <c r="AC7" s="272">
        <f>SUMPRODUCT(('Raw(품의)'!$B$5:$B$251='(신규) Summary'!Z$4)*('Raw(품의)'!$E$5:$E$251='(신규) Summary'!$B7)*('Raw(품의)'!$Y$5:$Y$251=2)*('Raw(품의)'!$V$5:$V$251))</f>
        <v/>
      </c>
      <c r="AD7" s="272">
        <f>SUMPRODUCT(('26년 계획(품의전)'!$B$14:$B$418='(신규) Summary'!$B7)*('26년 계획(품의전)'!$E$14:$F$418='(신규) Summary'!Z$4)*('26년 계획(품의전)'!$Z$14:$Z$418=2)*('26년 계획(품의전)'!$X$14:$Y$418))</f>
        <v/>
      </c>
      <c r="AE7" s="272">
        <f>SUM(AC7:AD7)</f>
        <v/>
      </c>
      <c r="AF7" s="272">
        <f>AA7-AB7</f>
        <v/>
      </c>
      <c r="AG7" s="274">
        <f>AA7-AB7-AE7</f>
        <v/>
      </c>
    </row>
    <row r="8">
      <c r="B8" s="84" t="inlineStr">
        <is>
          <t>자동보정</t>
        </is>
      </c>
      <c r="C8" s="277">
        <f>SUMPRODUCT((예산!$B$3:$B$6='(신규) Summary'!$B8)*(예산!$C$2:$F$2='(신규) Summary'!C$4)*(예산!$C$3:$F$6))</f>
        <v/>
      </c>
      <c r="D8" s="278">
        <f>SUMPRODUCT(('집행(ERS)'!$B$3:$B$493='(신규) Summary'!C$4)*('집행(ERS)'!$C$3:$C$493='(신규) Summary'!$B8)*('집행(ERS)'!$J$3:$J$493))</f>
        <v/>
      </c>
      <c r="E8" s="278">
        <f>SUMPRODUCT(('Raw(품의)'!$B$5:$B$245='(신규) Summary'!C$4)*('Raw(품의)'!$E$5:$E$245='(신규) Summary'!$B8)*('Raw(품의)'!$Y$5:$Y$245=2)*('Raw(품의)'!$V$5:$V$245))</f>
        <v/>
      </c>
      <c r="F8" s="279">
        <f t="array" ref="F8">SUMPRODUCT(('26년 계획(품의전)'!$B$14:$B$418='(신규) Summary'!$B8)*('26년 계획(품의전)'!$E$14:$F$418='(신규) Summary'!C$4)*('26년 계획(품의전)'!$Z$14:$Z$418=2)*('26년 계획(품의전)'!$X$14:$Y$418))</f>
        <v/>
      </c>
      <c r="G8" s="278">
        <f>SUM(E8:F8)</f>
        <v/>
      </c>
      <c r="H8" s="278">
        <f>C8-D8</f>
        <v/>
      </c>
      <c r="I8" s="280">
        <f>C8-D8-G8</f>
        <v/>
      </c>
      <c r="J8" s="281">
        <f>SUMPRODUCT((예산!$B$3:$B$6='(신규) Summary'!$B8)*(예산!$C$2:$F$2='(신규) Summary'!J$4)*(예산!$C$3:$F$6))</f>
        <v/>
      </c>
      <c r="K8" s="278">
        <f>I8+J8</f>
        <v/>
      </c>
      <c r="L8" s="278">
        <f>SUMPRODUCT(('집행(ERS)'!$B$3:$B$493='(신규) Summary'!J$4)*('집행(ERS)'!$C$3:$C$493='(신규) Summary'!$B8)*('집행(ERS)'!$J$3:$J$493))</f>
        <v/>
      </c>
      <c r="M8" s="278">
        <f>SUMPRODUCT(('Raw(품의)'!$B$5:$B$245='(신규) Summary'!J$4)*('Raw(품의)'!$E$5:$E$245='(신규) Summary'!$B8)*('Raw(품의)'!$Y$5:$Y$245=2)*('Raw(품의)'!$V$5:$V$245))</f>
        <v/>
      </c>
      <c r="N8" s="278">
        <f>SUMPRODUCT(('26년 계획(품의전)'!$B$14:$B$418='(신규) Summary'!$B8)*('26년 계획(품의전)'!$E$14:$F$418='(신규) Summary'!J$4)*('26년 계획(품의전)'!$Z$14:$Z$418=2)*('26년 계획(품의전)'!$X$14:$Y$418))</f>
        <v/>
      </c>
      <c r="O8" s="278">
        <f>SUM(M8:N8)</f>
        <v/>
      </c>
      <c r="P8" s="278">
        <f>K8-L8</f>
        <v/>
      </c>
      <c r="Q8" s="280">
        <f>K8-L8-O8</f>
        <v/>
      </c>
      <c r="R8" s="281">
        <f>SUMPRODUCT((예산!$B$3:$B$6='(신규) Summary'!$B8)*(예산!$C$2:$F$2='(신규) Summary'!R$4)*(예산!$C$3:$F$6))</f>
        <v/>
      </c>
      <c r="S8" s="278">
        <f>Q8+R8</f>
        <v/>
      </c>
      <c r="T8" s="278">
        <f>SUMPRODUCT(('집행(ERS)'!$B$3:$B$495='(신규) Summary'!R$4)*('집행(ERS)'!$C$3:$C$495='(신규) Summary'!$B8)*('집행(ERS)'!$J$3:$J$495))</f>
        <v/>
      </c>
      <c r="U8" s="278">
        <f>SUMPRODUCT(('Raw(품의)'!$B$5:$B$251='(신규) Summary'!R$4)*('Raw(품의)'!$E$5:$E$251='(신규) Summary'!$B8)*('Raw(품의)'!$Y$5:$Y$251=2)*('Raw(품의)'!$V$5:$V$251))</f>
        <v/>
      </c>
      <c r="V8" s="278">
        <f>SUMPRODUCT(('26년 계획(품의전)'!$B$14:$B$418='(신규) Summary'!$B8)*('26년 계획(품의전)'!$E$14:$F$418='(신규) Summary'!R$4)*('26년 계획(품의전)'!$Z$14:$Z$418=2)*('26년 계획(품의전)'!$X$14:$Y$418))</f>
        <v/>
      </c>
      <c r="W8" s="278">
        <f>SUM(U8:V8)</f>
        <v/>
      </c>
      <c r="X8" s="278">
        <f>S8-T8</f>
        <v/>
      </c>
      <c r="Y8" s="280">
        <f>S8-T8-W8</f>
        <v/>
      </c>
      <c r="Z8" s="281">
        <f>SUMPRODUCT((예산!$B$3:$B$6='(신규) Summary'!$B8)*(예산!$C$2:$F$2='(신규) Summary'!Z$4)*(예산!$C$3:$F$6))</f>
        <v/>
      </c>
      <c r="AA8" s="278">
        <f>Y8+Z8</f>
        <v/>
      </c>
      <c r="AB8" s="278">
        <f>SUMPRODUCT(('집행(ERS)'!$B$3:$B$495='(신규) Summary'!Z$4)*('집행(ERS)'!$C$3:$C$495='(신규) Summary'!$B8)*('집행(ERS)'!$J$3:$J$495))</f>
        <v/>
      </c>
      <c r="AC8" s="278">
        <f>SUMPRODUCT(('Raw(품의)'!$B$5:$B$251='(신규) Summary'!Z$4)*('Raw(품의)'!$E$5:$E$251='(신규) Summary'!$B8)*('Raw(품의)'!$Y$5:$Y$251=2)*('Raw(품의)'!$V$5:$V$251))</f>
        <v/>
      </c>
      <c r="AD8" s="278">
        <f>SUMPRODUCT(('26년 계획(품의전)'!$B$14:$B$418='(신규) Summary'!$B8)*('26년 계획(품의전)'!$E$14:$F$418='(신규) Summary'!Z$4)*('26년 계획(품의전)'!$Z$14:$Z$418=2)*('26년 계획(품의전)'!$X$14:$Y$418))</f>
        <v/>
      </c>
      <c r="AE8" s="278">
        <f>SUM(AC8:AD8)</f>
        <v/>
      </c>
      <c r="AF8" s="278">
        <f>AA8-AB8</f>
        <v/>
      </c>
      <c r="AG8" s="280">
        <f>AA8-AB8-AE8</f>
        <v/>
      </c>
    </row>
    <row r="9">
      <c r="B9" s="84" t="inlineStr">
        <is>
          <t>FDC DX</t>
        </is>
      </c>
      <c r="C9" s="277">
        <f>SUMPRODUCT((예산!$B$3:$B$6='(신규) Summary'!$B9)*(예산!$C$2:$F$2='(신규) Summary'!C$4)*(예산!$C$3:$F$6))</f>
        <v/>
      </c>
      <c r="D9" s="278">
        <f>SUMPRODUCT(('집행(ERS)'!$B$3:$B$493='(신규) Summary'!C$4)*('집행(ERS)'!$C$3:$C$493='(신규) Summary'!$B9)*('집행(ERS)'!$J$3:$J$493))</f>
        <v/>
      </c>
      <c r="E9" s="278">
        <f>SUMPRODUCT(('Raw(품의)'!$B$5:$B$245='(신규) Summary'!C$4)*('Raw(품의)'!$E$5:$E$245='(신규) Summary'!$B9)*('Raw(품의)'!$Y$5:$Y$245=2)*('Raw(품의)'!$V$5:$V$245))</f>
        <v/>
      </c>
      <c r="F9" s="278">
        <f t="array" ref="F9">SUMPRODUCT(('26년 계획(품의전)'!$B$14:$B$418='(신규) Summary'!$B9)*('26년 계획(품의전)'!$E$14:$F$418='(신규) Summary'!C$4)*('26년 계획(품의전)'!$Z$14:$Z$418=2)*('26년 계획(품의전)'!$X$14:$Y$418))</f>
        <v/>
      </c>
      <c r="G9" s="278">
        <f>SUM(E9:F9)</f>
        <v/>
      </c>
      <c r="H9" s="278">
        <f>C9-D9</f>
        <v/>
      </c>
      <c r="I9" s="280">
        <f>C9-D9-G9</f>
        <v/>
      </c>
      <c r="J9" s="281">
        <f>SUMPRODUCT((예산!$B$3:$B$6='(신규) Summary'!$B9)*(예산!$C$2:$F$2='(신규) Summary'!J$4)*(예산!$C$3:$F$6))</f>
        <v/>
      </c>
      <c r="K9" s="278">
        <f>I9+J9</f>
        <v/>
      </c>
      <c r="L9" s="278">
        <f>SUMPRODUCT(('집행(ERS)'!$B$3:$B$493='(신규) Summary'!J$4)*('집행(ERS)'!$C$3:$C$493='(신규) Summary'!$B9)*('집행(ERS)'!$J$3:$J$493))</f>
        <v/>
      </c>
      <c r="M9" s="278">
        <f>SUMPRODUCT(('Raw(품의)'!$B$5:$B$245='(신규) Summary'!J$4)*('Raw(품의)'!$E$5:$E$245='(신규) Summary'!$B9)*('Raw(품의)'!$Y$5:$Y$245=2)*('Raw(품의)'!$V$5:$V$245))</f>
        <v/>
      </c>
      <c r="N9" s="278">
        <f t="array" ref="N9">SUMPRODUCT(('26년 계획(품의전)'!$B$14:$B$418='(신규) Summary'!$B9)*('26년 계획(품의전)'!$E$14:$F$418='(신규) Summary'!J$4)*('26년 계획(품의전)'!$Z$14:$Z$418=2)*('26년 계획(품의전)'!$X$14:$Y$418))</f>
        <v/>
      </c>
      <c r="O9" s="278">
        <f>SUM(M9:N9)</f>
        <v/>
      </c>
      <c r="P9" s="278">
        <f>K9-L9</f>
        <v/>
      </c>
      <c r="Q9" s="280">
        <f>K9-L9-O9</f>
        <v/>
      </c>
      <c r="R9" s="281">
        <f>SUMPRODUCT((예산!$B$3:$B$6='(신규) Summary'!$B9)*(예산!$C$2:$F$2='(신규) Summary'!R$4)*(예산!$C$3:$F$6))</f>
        <v/>
      </c>
      <c r="S9" s="278">
        <f>Q9+R9</f>
        <v/>
      </c>
      <c r="T9" s="278">
        <f>SUMPRODUCT(('집행(ERS)'!$B$3:$B$495='(신규) Summary'!R$4)*('집행(ERS)'!$C$3:$C$495='(신규) Summary'!$B9)*('집행(ERS)'!$J$3:$J$495))</f>
        <v/>
      </c>
      <c r="U9" s="278">
        <f>SUMPRODUCT(('Raw(품의)'!$B$5:$B$251='(신규) Summary'!R$4)*('Raw(품의)'!$E$5:$E$251='(신규) Summary'!$B9)*('Raw(품의)'!$Y$5:$Y$251=2)*('Raw(품의)'!$V$5:$V$251))</f>
        <v/>
      </c>
      <c r="V9" s="278">
        <f>SUMPRODUCT(('26년 계획(품의전)'!$B$14:$B$418='(신규) Summary'!$B9)*('26년 계획(품의전)'!$E$14:$F$418='(신규) Summary'!R$4)*('26년 계획(품의전)'!$Z$14:$Z$418=2)*('26년 계획(품의전)'!$X$14:$Y$418))</f>
        <v/>
      </c>
      <c r="W9" s="278">
        <f>SUM(U9:V9)</f>
        <v/>
      </c>
      <c r="X9" s="278">
        <f>S9-T9</f>
        <v/>
      </c>
      <c r="Y9" s="280">
        <f>S9-T9-W9</f>
        <v/>
      </c>
      <c r="Z9" s="281">
        <f>SUMPRODUCT((예산!$B$3:$B$6='(신규) Summary'!$B9)*(예산!$C$2:$F$2='(신규) Summary'!Z$4)*(예산!$C$3:$F$6))</f>
        <v/>
      </c>
      <c r="AA9" s="278">
        <f>Y9+Z9</f>
        <v/>
      </c>
      <c r="AB9" s="278">
        <f>SUMPRODUCT(('집행(ERS)'!$B$3:$B$495='(신규) Summary'!Z$4)*('집행(ERS)'!$C$3:$C$495='(신규) Summary'!$B9)*('집행(ERS)'!$J$3:$J$495))</f>
        <v/>
      </c>
      <c r="AC9" s="278">
        <f>SUMPRODUCT(('Raw(품의)'!$B$5:$B$251='(신규) Summary'!Z$4)*('Raw(품의)'!$E$5:$E$251='(신규) Summary'!$B9)*('Raw(품의)'!$Y$5:$Y$251=2)*('Raw(품의)'!$V$5:$V$251))</f>
        <v/>
      </c>
      <c r="AD9" s="278">
        <f>SUMPRODUCT(('26년 계획(품의전)'!$B$14:$B$418='(신규) Summary'!$B9)*('26년 계획(품의전)'!$E$14:$F$418='(신규) Summary'!Z$4)*('26년 계획(품의전)'!$Z$14:$Z$418=2)*('26년 계획(품의전)'!$X$14:$Y$418))</f>
        <v/>
      </c>
      <c r="AE9" s="278">
        <f>SUM(AC9:AD9)</f>
        <v/>
      </c>
      <c r="AF9" s="278">
        <f>AA9-AB9</f>
        <v/>
      </c>
      <c r="AG9" s="280">
        <f>AA9-AB9-AE9</f>
        <v/>
      </c>
    </row>
    <row r="10" ht="17.25" customHeight="1" s="260" thickBot="1">
      <c r="B10" s="89" t="inlineStr">
        <is>
          <t>품질DX</t>
        </is>
      </c>
      <c r="C10" s="282">
        <f>SUMPRODUCT((예산!$B$3:$B$6='(신규) Summary'!$B10)*(예산!$C$2:$F$2='(신규) Summary'!C$4)*(예산!$C$3:$F$6))</f>
        <v/>
      </c>
      <c r="D10" s="283">
        <f>SUMPRODUCT(('집행(ERS)'!$B$3:$B$493='(신규) Summary'!C$4)*('집행(ERS)'!$C$3:$C$493='(신규) Summary'!$B10)*('집행(ERS)'!$J$3:$J$493))</f>
        <v/>
      </c>
      <c r="E10" s="283">
        <f>SUMPRODUCT(('Raw(품의)'!$B$5:$B$245='(신규) Summary'!C$4)*('Raw(품의)'!$E$5:$E$245='(신규) Summary'!$B10)*('Raw(품의)'!$Y$5:$Y$245=2)*('Raw(품의)'!$V$5:$V$245))</f>
        <v/>
      </c>
      <c r="F10" s="284">
        <f t="array" ref="F10">SUMPRODUCT(('26년 계획(품의전)'!$B$14:$B$418='(신규) Summary'!$B10)*('26년 계획(품의전)'!$E$14:$F$418='(신규) Summary'!C$4)*('26년 계획(품의전)'!$Z$14:$Z$418=2)*('26년 계획(품의전)'!$X$14:$Y$418))</f>
        <v/>
      </c>
      <c r="G10" s="283">
        <f>SUM(E10:F10)</f>
        <v/>
      </c>
      <c r="H10" s="283">
        <f>C10-D10</f>
        <v/>
      </c>
      <c r="I10" s="285">
        <f>C10-D10-G10</f>
        <v/>
      </c>
      <c r="J10" s="286">
        <f>SUMPRODUCT((예산!$B$3:$B$6='(신규) Summary'!$B10)*(예산!$C$2:$F$2='(신규) Summary'!J$4)*(예산!$C$3:$F$6))</f>
        <v/>
      </c>
      <c r="K10" s="283">
        <f>I10+J10</f>
        <v/>
      </c>
      <c r="L10" s="283">
        <f>SUMPRODUCT(('집행(ERS)'!$B$3:$B$493='(신규) Summary'!J$4)*('집행(ERS)'!$C$3:$C$493='(신규) Summary'!$B10)*('집행(ERS)'!$J$3:$J$493))</f>
        <v/>
      </c>
      <c r="M10" s="283">
        <f>SUMPRODUCT(('Raw(품의)'!$B$5:$B$245='(신규) Summary'!J$4)*('Raw(품의)'!$E$5:$E$245='(신규) Summary'!$B10)*('Raw(품의)'!$Y$5:$Y$245=2)*('Raw(품의)'!$V$5:$V$245))</f>
        <v/>
      </c>
      <c r="N10" s="278">
        <f>SUMPRODUCT(('26년 계획(품의전)'!$B$14:$B$418='(신규) Summary'!$B10)*('26년 계획(품의전)'!$E$14:$F$418='(신규) Summary'!J$4)*('26년 계획(품의전)'!$Z$14:$Z$418=2)*('26년 계획(품의전)'!$X$14:$Y$418))</f>
        <v/>
      </c>
      <c r="O10" s="283">
        <f>SUM(M10:N10)</f>
        <v/>
      </c>
      <c r="P10" s="283">
        <f>K10-L10</f>
        <v/>
      </c>
      <c r="Q10" s="285">
        <f>K10-L10-O10</f>
        <v/>
      </c>
      <c r="R10" s="286">
        <f>SUMPRODUCT((예산!$B$3:$B$6='(신규) Summary'!$B10)*(예산!$C$2:$F$2='(신규) Summary'!R$4)*(예산!$C$3:$F$6))</f>
        <v/>
      </c>
      <c r="S10" s="283">
        <f>Q10+R10</f>
        <v/>
      </c>
      <c r="T10" s="284">
        <f>SUMPRODUCT(('집행(ERS)'!$B$3:$B$495='(신규) Summary'!R$4)*('집행(ERS)'!$C$3:$C$495='(신규) Summary'!$B10)*('집행(ERS)'!$J$3:$J$495))</f>
        <v/>
      </c>
      <c r="U10" s="284">
        <f>SUMPRODUCT(('Raw(품의)'!$B$5:$B$251='(신규) Summary'!R$4)*('Raw(품의)'!$E$5:$E$251='(신규) Summary'!$B10)*('Raw(품의)'!$Y$5:$Y$251=2)*('Raw(품의)'!$V$5:$V$251))</f>
        <v/>
      </c>
      <c r="V10" s="278">
        <f>SUMPRODUCT(('26년 계획(품의전)'!$B$14:$B$418='(신규) Summary'!$B10)*('26년 계획(품의전)'!$E$14:$F$418='(신규) Summary'!R$4)*('26년 계획(품의전)'!$Z$14:$Z$418=2)*('26년 계획(품의전)'!$X$14:$Y$418))</f>
        <v/>
      </c>
      <c r="W10" s="283">
        <f>SUM(U10:V10)</f>
        <v/>
      </c>
      <c r="X10" s="283">
        <f>S10-T10</f>
        <v/>
      </c>
      <c r="Y10" s="285">
        <f>S10-T10-W10</f>
        <v/>
      </c>
      <c r="Z10" s="286">
        <f>SUMPRODUCT((예산!$B$3:$B$6='(신규) Summary'!$B10)*(예산!$C$2:$F$2='(신규) Summary'!Z$4)*(예산!$C$3:$F$6))</f>
        <v/>
      </c>
      <c r="AA10" s="283">
        <f>Y10+Z10</f>
        <v/>
      </c>
      <c r="AB10" s="284">
        <f>SUMPRODUCT(('집행(ERS)'!$B$3:$B$495='(신규) Summary'!Z$4)*('집행(ERS)'!$C$3:$C$495='(신규) Summary'!$B10)*('집행(ERS)'!$J$3:$J$495))</f>
        <v/>
      </c>
      <c r="AC10" s="284">
        <f>SUMPRODUCT(('Raw(품의)'!$B$5:$B$251='(신규) Summary'!Z$4)*('Raw(품의)'!$E$5:$E$251='(신규) Summary'!$B10)*('Raw(품의)'!$Y$5:$Y$251=2)*('Raw(품의)'!$V$5:$V$251))</f>
        <v/>
      </c>
      <c r="AD10" s="278">
        <f>SUMPRODUCT(('26년 계획(품의전)'!$B$14:$B$418='(신규) Summary'!$B10)*('26년 계획(품의전)'!$E$14:$F$418='(신규) Summary'!Z$4)*('26년 계획(품의전)'!$Z$14:$Z$418=2)*('26년 계획(품의전)'!$X$14:$Y$418))</f>
        <v/>
      </c>
      <c r="AE10" s="283">
        <f>SUM(AC10:AD10)</f>
        <v/>
      </c>
      <c r="AF10" s="283">
        <f>AA10-AB10</f>
        <v/>
      </c>
      <c r="AG10" s="285">
        <f>AA10-AB10-AE10</f>
        <v/>
      </c>
    </row>
    <row r="11" ht="17.25" customHeight="1" s="260" thickBot="1">
      <c r="B11" s="94" t="inlineStr">
        <is>
          <t>제조DX그룹</t>
        </is>
      </c>
      <c r="C11" s="287">
        <f>SUM(C7:C10)</f>
        <v/>
      </c>
      <c r="D11" s="288">
        <f>SUM(D7:D10)</f>
        <v/>
      </c>
      <c r="E11" s="288">
        <f>SUM(E7:E10)</f>
        <v/>
      </c>
      <c r="F11" s="288">
        <f>SUM(F7:F10)</f>
        <v/>
      </c>
      <c r="G11" s="288">
        <f>SUM(G7:G10)</f>
        <v/>
      </c>
      <c r="H11" s="288">
        <f>SUM(H7:H10)</f>
        <v/>
      </c>
      <c r="I11" s="289">
        <f>SUM(I7:I10)</f>
        <v/>
      </c>
      <c r="J11" s="290">
        <f>SUM(J7:J10)</f>
        <v/>
      </c>
      <c r="K11" s="288">
        <f>SUM(K7:K10)</f>
        <v/>
      </c>
      <c r="L11" s="288">
        <f>SUM(L7:L10)</f>
        <v/>
      </c>
      <c r="M11" s="288">
        <f>SUM(M7:M10)</f>
        <v/>
      </c>
      <c r="N11" s="288">
        <f>SUM(N7:N10)</f>
        <v/>
      </c>
      <c r="O11" s="288">
        <f>SUM(O7:O10)</f>
        <v/>
      </c>
      <c r="P11" s="288">
        <f>SUM(P7:P10)</f>
        <v/>
      </c>
      <c r="Q11" s="291">
        <f>SUM(Q7:Q10)</f>
        <v/>
      </c>
      <c r="R11" s="287">
        <f>SUM(R7:R10)</f>
        <v/>
      </c>
      <c r="S11" s="288">
        <f>SUM(S7:S10)</f>
        <v/>
      </c>
      <c r="T11" s="288">
        <f>SUM(T7:T10)</f>
        <v/>
      </c>
      <c r="U11" s="288">
        <f>SUM(U7:U10)</f>
        <v/>
      </c>
      <c r="V11" s="288">
        <f>SUM(V7:V10)</f>
        <v/>
      </c>
      <c r="W11" s="288">
        <f>SUM(W7:W10)</f>
        <v/>
      </c>
      <c r="X11" s="288">
        <f>SUM(X7:X10)</f>
        <v/>
      </c>
      <c r="Y11" s="289">
        <f>SUM(Y7:Y10)</f>
        <v/>
      </c>
      <c r="Z11" s="290">
        <f>SUM(Z7:Z10)</f>
        <v/>
      </c>
      <c r="AA11" s="288">
        <f>SUM(AA7:AA10)</f>
        <v/>
      </c>
      <c r="AB11" s="288">
        <f>SUM(AB7:AB10)</f>
        <v/>
      </c>
      <c r="AC11" s="288">
        <f>SUM(AC7:AC10)</f>
        <v/>
      </c>
      <c r="AD11" s="288">
        <f>SUM(AD7:AD10)</f>
        <v/>
      </c>
      <c r="AE11" s="288">
        <f>SUM(AE7:AE10)</f>
        <v/>
      </c>
      <c r="AF11" s="288">
        <f>SUM(AF7:AF10)</f>
        <v/>
      </c>
      <c r="AG11" s="289">
        <f>SUM(AG7:AG10)</f>
        <v/>
      </c>
    </row>
  </sheetData>
  <mergeCells count="21">
    <mergeCell ref="AC5:AE5"/>
    <mergeCell ref="J5:K5"/>
    <mergeCell ref="R4:Y4"/>
    <mergeCell ref="L5:L6"/>
    <mergeCell ref="B4:B6"/>
    <mergeCell ref="J4:Q4"/>
    <mergeCell ref="U5:W5"/>
    <mergeCell ref="C4:I4"/>
    <mergeCell ref="X5:Y5"/>
    <mergeCell ref="Z5:AA5"/>
    <mergeCell ref="AF5:AG5"/>
    <mergeCell ref="D5:D6"/>
    <mergeCell ref="Z4:AG4"/>
    <mergeCell ref="E5:G5"/>
    <mergeCell ref="M5:O5"/>
    <mergeCell ref="H5:I5"/>
    <mergeCell ref="P5:Q5"/>
    <mergeCell ref="T5:T6"/>
    <mergeCell ref="R5:S5"/>
    <mergeCell ref="AB5:AB6"/>
    <mergeCell ref="C5:C6"/>
  </mergeCells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106"/>
  <sheetViews>
    <sheetView showGridLines="0" zoomScale="115" zoomScaleNormal="115" workbookViewId="0">
      <pane ySplit="2" topLeftCell="A3" activePane="bottomLeft" state="frozen"/>
      <selection pane="bottomLeft" activeCell="D27" sqref="D27"/>
    </sheetView>
  </sheetViews>
  <sheetFormatPr baseColWidth="8" defaultRowHeight="16.5"/>
  <cols>
    <col width="1.5" customWidth="1" style="260" min="1" max="1"/>
    <col width="6.875" customWidth="1" style="292" min="2" max="2"/>
    <col width="16.25" customWidth="1" style="33" min="3" max="3"/>
    <col width="16" bestFit="1" customWidth="1" style="33" min="4" max="4"/>
    <col width="87.625" customWidth="1" style="260" min="5" max="5"/>
    <col width="13.5" bestFit="1" customWidth="1" style="293" min="6" max="8"/>
    <col width="14.75" bestFit="1" customWidth="1" style="293" min="9" max="9"/>
    <col width="13.5" bestFit="1" customWidth="1" style="293" min="10" max="11"/>
  </cols>
  <sheetData>
    <row r="1" ht="8.25" customHeight="1" s="260" thickBot="1"/>
    <row r="2" ht="17.25" customHeight="1" s="260" thickBot="1">
      <c r="B2" s="294" t="inlineStr">
        <is>
          <t>분기</t>
        </is>
      </c>
      <c r="C2" s="58" t="inlineStr">
        <is>
          <t>부문</t>
        </is>
      </c>
      <c r="D2" s="59" t="inlineStr">
        <is>
          <t>품의서 번호</t>
        </is>
      </c>
      <c r="E2" s="59" t="inlineStr">
        <is>
          <t>품의서 제목</t>
        </is>
      </c>
      <c r="F2" s="295" t="inlineStr">
        <is>
          <t>숙박비</t>
        </is>
      </c>
      <c r="G2" s="295" t="inlineStr">
        <is>
          <t>교통비</t>
        </is>
      </c>
      <c r="H2" s="295" t="inlineStr">
        <is>
          <t>일당</t>
        </is>
      </c>
      <c r="I2" s="295" t="inlineStr">
        <is>
          <t>기타잡비</t>
        </is>
      </c>
      <c r="J2" s="296" t="inlineStr">
        <is>
          <t>합계</t>
        </is>
      </c>
      <c r="K2" s="297" t="inlineStr">
        <is>
          <t>비용 처리</t>
        </is>
      </c>
    </row>
    <row r="3">
      <c r="B3" s="298" t="n">
        <v>1</v>
      </c>
      <c r="C3" s="40" t="inlineStr">
        <is>
          <t>FDC DX</t>
        </is>
      </c>
      <c r="D3" s="40" t="inlineStr">
        <is>
          <t>B2512190011</t>
        </is>
      </c>
      <c r="E3" s="63" t="inlineStr">
        <is>
          <t xml:space="preserve">	ESWA법인 '26년 DX 추진과제 FDC 운영 협의 및 신규과제 발굴 / 현장 VOE 청취를 위한 출장 건 (260124 ~ 260130 / 민경춘, 이현우)</t>
        </is>
      </c>
      <c r="F3" s="299" t="n">
        <v>1968134</v>
      </c>
      <c r="G3" s="299" t="n">
        <v>4465885</v>
      </c>
      <c r="H3" s="299" t="n">
        <v>893579</v>
      </c>
      <c r="I3" s="299" t="n">
        <v>88000</v>
      </c>
      <c r="J3" s="300" t="n">
        <v>3157198</v>
      </c>
      <c r="K3" s="300" t="n"/>
    </row>
    <row r="4">
      <c r="B4" s="301" t="n">
        <v>1</v>
      </c>
      <c r="C4" s="40" t="inlineStr">
        <is>
          <t>제조DX솔루션</t>
        </is>
      </c>
      <c r="D4" s="40" t="inlineStr">
        <is>
          <t xml:space="preserve">	B2512170010</t>
        </is>
      </c>
      <c r="E4" s="63" t="inlineStr">
        <is>
          <t xml:space="preserve">	[해외출장/ESWA] L&amp;S 수율 개선 솔루션 개발을 위한 해외출장의 건 (출장자 : 박경찬 팀장, 김승필 책임, 윤병호 선임/ '26.01.02 ~ 01.31)</t>
        </is>
      </c>
      <c r="F4" s="299" t="n">
        <v>13255200</v>
      </c>
      <c r="G4" s="299" t="n">
        <v>10195593</v>
      </c>
      <c r="H4" s="299" t="n">
        <v>13822851</v>
      </c>
      <c r="I4" s="299" t="n">
        <v>155606</v>
      </c>
      <c r="J4" s="300" t="n">
        <v>18063150</v>
      </c>
      <c r="K4" s="300" t="n"/>
    </row>
    <row r="5">
      <c r="B5" s="301" t="n">
        <v>1</v>
      </c>
      <c r="C5" s="40" t="inlineStr">
        <is>
          <t>제조DX솔루션</t>
        </is>
      </c>
      <c r="D5" s="40" t="inlineStr">
        <is>
          <t>B2601190019</t>
        </is>
      </c>
      <c r="E5" s="66" t="inlineStr">
        <is>
          <t xml:space="preserve">	[재품의] [해외출장/ESMI] ESMI 계측기 Cell ID 연동 대표 호기 적용을 위한 해외 출장의 건 (출장자 : 이성규 선임/ '26.01.03 ~ 26.01.19 → 26.01.03 ~ 26.01.30)</t>
        </is>
      </c>
      <c r="F5" s="299" t="n">
        <v>6737291</v>
      </c>
      <c r="G5" s="299" t="n">
        <v>5874841</v>
      </c>
      <c r="H5" s="299" t="n">
        <v>4047148</v>
      </c>
      <c r="I5" s="293" t="n">
        <v>64573</v>
      </c>
      <c r="J5" s="300" t="n">
        <v>9780749</v>
      </c>
      <c r="K5" s="300" t="n"/>
    </row>
    <row r="6">
      <c r="B6" s="301" t="n">
        <v>1</v>
      </c>
      <c r="C6" s="40" t="inlineStr">
        <is>
          <t>FDC DX</t>
        </is>
      </c>
      <c r="D6" s="40" t="n"/>
      <c r="E6" s="63" t="inlineStr">
        <is>
          <t>담당님 국내출장</t>
        </is>
      </c>
      <c r="F6" s="299" t="n"/>
      <c r="G6" s="299" t="n"/>
      <c r="H6" s="299" t="n"/>
      <c r="I6" s="299" t="n"/>
      <c r="J6" s="300">
        <f>10000+10910+7273+22200</f>
        <v/>
      </c>
      <c r="K6" s="300" t="n"/>
    </row>
    <row r="7" customFormat="1" s="66">
      <c r="B7" s="302" t="n">
        <v>1</v>
      </c>
      <c r="C7" s="69" t="inlineStr">
        <is>
          <t>자동보정</t>
        </is>
      </c>
      <c r="D7" s="69" t="n"/>
      <c r="E7" s="63" t="inlineStr">
        <is>
          <t>담당님 국내출장</t>
        </is>
      </c>
      <c r="F7" s="303" t="n"/>
      <c r="G7" s="303" t="n"/>
      <c r="H7" s="299" t="n"/>
      <c r="I7" s="299" t="n"/>
      <c r="J7" s="304" t="n">
        <v>259400</v>
      </c>
      <c r="K7" s="304" t="n"/>
    </row>
    <row r="8">
      <c r="B8" s="298" t="n">
        <v>1</v>
      </c>
      <c r="C8" s="40" t="inlineStr">
        <is>
          <t>FDC DX</t>
        </is>
      </c>
      <c r="D8" s="40" t="inlineStr">
        <is>
          <t>B2601130039</t>
        </is>
      </c>
      <c r="E8" s="41" t="inlineStr">
        <is>
          <t>[해외출장, ESST] 롤프레스 단선 개선 협업 논의 및 코터 연결불량 loss 개선안 출장계획</t>
        </is>
      </c>
      <c r="F8" s="299" t="n">
        <v>9289999</v>
      </c>
      <c r="G8" s="299" t="n">
        <v>6260996</v>
      </c>
      <c r="H8" s="299" t="n">
        <v>7764168</v>
      </c>
      <c r="I8" s="299" t="n">
        <v>4138965</v>
      </c>
      <c r="J8" s="304">
        <f>SUM(F8:I8)-409408</f>
        <v/>
      </c>
      <c r="K8" s="300" t="n"/>
    </row>
    <row r="9">
      <c r="B9" s="302" t="n">
        <v>1</v>
      </c>
      <c r="C9" s="69" t="inlineStr">
        <is>
          <t>자동보정</t>
        </is>
      </c>
      <c r="D9" s="40" t="inlineStr">
        <is>
          <t>B2601130061</t>
        </is>
      </c>
      <c r="E9" s="63" t="inlineStr">
        <is>
          <t>[해외출장/ESST] ESST 롤프레스 단선 Loss 감소를 통한 ESS 수율 개선 출장 계획</t>
        </is>
      </c>
      <c r="F9" s="299" t="n">
        <v>9694199</v>
      </c>
      <c r="G9" s="299" t="n">
        <v>7777318</v>
      </c>
      <c r="H9" s="299" t="n">
        <v>7496412</v>
      </c>
      <c r="I9" s="299" t="n">
        <v>4529641</v>
      </c>
      <c r="J9" s="304">
        <f>SUM(F9:I9)-177298</f>
        <v/>
      </c>
      <c r="K9" s="300" t="n"/>
    </row>
    <row r="10">
      <c r="B10" s="301" t="n">
        <v>1</v>
      </c>
      <c r="C10" s="40" t="inlineStr">
        <is>
          <t>FDC DX</t>
        </is>
      </c>
      <c r="D10" s="40" t="inlineStr">
        <is>
          <t>B2512180027</t>
        </is>
      </c>
      <c r="E10" s="63" t="inlineStr">
        <is>
          <t>DX과제 신규 데이터 조기 안정화 및 현상 점검</t>
        </is>
      </c>
      <c r="F10" s="299" t="n"/>
      <c r="G10" s="299" t="n"/>
      <c r="H10" s="299" t="n"/>
      <c r="I10" s="299" t="n"/>
      <c r="J10" s="300" t="n">
        <v>838148</v>
      </c>
      <c r="K10" s="300" t="n"/>
    </row>
    <row r="11">
      <c r="B11" s="302" t="n">
        <v>1</v>
      </c>
      <c r="C11" s="69" t="inlineStr">
        <is>
          <t>자동보정</t>
        </is>
      </c>
      <c r="D11" s="40" t="inlineStr">
        <is>
          <t>B2601160044</t>
        </is>
      </c>
      <c r="E11" s="36" t="inlineStr">
        <is>
          <t>ESWA 코드표준화 &amp; 과검 이상감지 대표호기 적용</t>
        </is>
      </c>
      <c r="F11" s="303" t="n">
        <v>6477098</v>
      </c>
      <c r="G11" s="303" t="n">
        <v>7039278</v>
      </c>
      <c r="H11" s="303" t="n">
        <v>7205974</v>
      </c>
      <c r="I11" s="303">
        <f>80133-9091+79000</f>
        <v/>
      </c>
      <c r="J11" s="304">
        <f>SUM(F11:I11)</f>
        <v/>
      </c>
      <c r="K11" s="304" t="n"/>
    </row>
    <row r="12">
      <c r="B12" s="302" t="n">
        <v>1</v>
      </c>
      <c r="C12" s="69" t="inlineStr">
        <is>
          <t>자동보정</t>
        </is>
      </c>
      <c r="D12" s="40" t="inlineStr">
        <is>
          <t>B2601130078</t>
        </is>
      </c>
      <c r="E12" s="41" t="inlineStr">
        <is>
          <t xml:space="preserve">롤프레스/노칭 PD Loss 개선을 위한 자동보정 신규 개발 및 적용 출장 건 </t>
        </is>
      </c>
      <c r="F12" s="299" t="n">
        <v>15432785</v>
      </c>
      <c r="G12" s="299" t="n">
        <v>11144231</v>
      </c>
      <c r="H12" s="299" t="n">
        <v>16581657</v>
      </c>
      <c r="I12" s="299" t="n">
        <v>436258</v>
      </c>
      <c r="J12" s="300" t="n">
        <v>43594931</v>
      </c>
      <c r="K12" s="300" t="n"/>
    </row>
    <row r="13" customFormat="1" s="66">
      <c r="B13" s="302" t="n">
        <v>1</v>
      </c>
      <c r="C13" s="40" t="inlineStr">
        <is>
          <t>제조DX솔루션</t>
        </is>
      </c>
      <c r="D13" s="69" t="inlineStr">
        <is>
          <t>B2603040014</t>
        </is>
      </c>
      <c r="E13" s="63" t="inlineStr">
        <is>
          <t>ESWA 수율 개선 현황 점검 및 워크샵 참석</t>
        </is>
      </c>
      <c r="F13" s="303" t="n">
        <v>1131527</v>
      </c>
      <c r="G13" s="303" t="n">
        <v>8746737</v>
      </c>
      <c r="H13" s="303" t="n">
        <v>630602</v>
      </c>
      <c r="I13" s="303" t="n"/>
      <c r="J13" s="304">
        <f>SUM(F13:I13)</f>
        <v/>
      </c>
      <c r="K13" s="304" t="n"/>
    </row>
    <row r="14">
      <c r="B14" s="301" t="n">
        <v>1</v>
      </c>
      <c r="C14" s="40" t="inlineStr">
        <is>
          <t>FDC DX</t>
        </is>
      </c>
      <c r="D14" s="40" t="inlineStr">
        <is>
          <t>B2602110046</t>
        </is>
      </c>
      <c r="E14" s="36" t="inlineStr">
        <is>
          <t>[품의서] [해외출장/ESWA] ESWA E77A NND 공정 수율 개선을 위한 해외 출장의 건 (* 출장자 : 김시호 책임, 감미론 선임 / '26.02.25 ~ '26.03.20)</t>
        </is>
      </c>
      <c r="F14" s="299" t="n">
        <v>7293791</v>
      </c>
      <c r="G14" s="299" t="n">
        <v>7062507</v>
      </c>
      <c r="H14" s="299" t="n">
        <v>7671312</v>
      </c>
      <c r="I14" s="299" t="n">
        <v>170036</v>
      </c>
      <c r="J14" s="304" t="n">
        <v>20471462</v>
      </c>
      <c r="K14" s="299" t="n"/>
    </row>
    <row r="15">
      <c r="B15" s="301" t="n">
        <v>1</v>
      </c>
      <c r="C15" s="40" t="inlineStr">
        <is>
          <t>제조DX솔루션</t>
        </is>
      </c>
      <c r="D15" s="40" t="inlineStr">
        <is>
          <t>B2601280022</t>
        </is>
      </c>
      <c r="E15" s="36" t="inlineStr">
        <is>
          <t>[해외출장] ESWA 셀 수율 안정화 지원</t>
        </is>
      </c>
      <c r="F15" s="299" t="n">
        <v>27626479</v>
      </c>
      <c r="G15" s="299" t="n">
        <v>10199967</v>
      </c>
      <c r="H15" s="299" t="n">
        <v>26827315</v>
      </c>
      <c r="I15" s="299" t="n">
        <v>404299</v>
      </c>
      <c r="J15" s="304">
        <f>SUM(F15:I15)</f>
        <v/>
      </c>
      <c r="K15" s="299" t="n"/>
    </row>
    <row r="16">
      <c r="B16" s="301" t="n">
        <v>1</v>
      </c>
      <c r="C16" s="40" t="inlineStr">
        <is>
          <t>제조DX솔루션</t>
        </is>
      </c>
      <c r="D16" s="40" t="inlineStr">
        <is>
          <t xml:space="preserve">	B2603040054</t>
        </is>
      </c>
      <c r="E16" s="36" t="inlineStr">
        <is>
          <t>[해외출장/ESWA] ESWA 셀 수율 안정화 지원의 건, 3/13~4/16, 최이범책임, 조은지선임, 최재호선임</t>
        </is>
      </c>
      <c r="F16" s="299" t="n">
        <v>16155402</v>
      </c>
      <c r="G16" s="299" t="n">
        <v>12401747</v>
      </c>
      <c r="H16" s="299" t="n">
        <v>16109847</v>
      </c>
      <c r="I16" s="299" t="n">
        <v>276012</v>
      </c>
      <c r="J16" s="304">
        <f>SUM(F16:I16)</f>
        <v/>
      </c>
      <c r="K16" s="299" t="n"/>
    </row>
    <row r="17">
      <c r="B17" s="301" t="n">
        <v>1</v>
      </c>
      <c r="C17" s="69" t="inlineStr">
        <is>
          <t>자동보정</t>
        </is>
      </c>
      <c r="D17" s="40" t="inlineStr">
        <is>
          <t>B2604020048</t>
        </is>
      </c>
      <c r="E17" s="36" t="inlineStr">
        <is>
          <t>[재품의] [출장 연장: 복귀 기준 4/10 → 4/18] ESWA LAMI 공정 자동보정 파라미터 실시간 최적화 &amp; 클러스터링 기반 재료교체 Y축 예측모델 적용</t>
        </is>
      </c>
      <c r="F17" s="299" t="n">
        <v>12036991</v>
      </c>
      <c r="G17" s="299" t="n">
        <v>12735159</v>
      </c>
      <c r="H17" s="299" t="n">
        <v>11297816</v>
      </c>
      <c r="I17" s="299" t="n">
        <v>223908</v>
      </c>
      <c r="J17" s="304">
        <f>SUM(F17:I17)</f>
        <v/>
      </c>
      <c r="K17" s="299" t="n"/>
    </row>
    <row r="18">
      <c r="B18" s="301" t="n">
        <v>1</v>
      </c>
      <c r="C18" s="40" t="inlineStr">
        <is>
          <t>제조DX솔루션</t>
        </is>
      </c>
      <c r="D18" s="40" t="inlineStr">
        <is>
          <t>B2603100041</t>
        </is>
      </c>
      <c r="E18" s="36" t="inlineStr">
        <is>
          <t>[해외출장/ESMI Lansing] ESMI Lansing 셀수율 안정화 지원(임성묵 선임, 26.03.27 ~ 05.01)</t>
        </is>
      </c>
      <c r="F18" s="299" t="n"/>
      <c r="G18" s="299" t="n"/>
      <c r="H18" s="299" t="n"/>
      <c r="I18" s="299" t="n"/>
      <c r="J18" s="299" t="n">
        <v>75550114</v>
      </c>
      <c r="K18" s="299" t="n"/>
    </row>
    <row r="19">
      <c r="B19" s="301" t="n">
        <v>2</v>
      </c>
      <c r="C19" s="40" t="inlineStr">
        <is>
          <t>FDC DX</t>
        </is>
      </c>
      <c r="D19" s="40" t="inlineStr">
        <is>
          <t>B2604090053</t>
        </is>
      </c>
      <c r="E19" s="134" t="inlineStr">
        <is>
          <t>[품의서] NJ Winder DX과제 전호기 확대 양산 검증 운영을 위한 출장 계획서</t>
        </is>
      </c>
      <c r="F19" s="299" t="n">
        <v>3221953</v>
      </c>
      <c r="G19" s="299" t="n">
        <v>2796855</v>
      </c>
      <c r="H19" s="299" t="n">
        <v>1870467</v>
      </c>
      <c r="I19" s="299" t="n">
        <v>137919</v>
      </c>
      <c r="J19" s="304">
        <f>SUM(F19:I19)</f>
        <v/>
      </c>
      <c r="K19" s="299" t="n"/>
    </row>
    <row r="20">
      <c r="B20" s="301" t="n">
        <v>2</v>
      </c>
      <c r="C20" s="40" t="inlineStr">
        <is>
          <t>품질DX</t>
        </is>
      </c>
      <c r="D20" s="40" t="inlineStr">
        <is>
          <t xml:space="preserve">	B2605080050</t>
        </is>
      </c>
      <c r="E20" s="134" t="inlineStr">
        <is>
          <t xml:space="preserve">	[해외출장/중국 심천(CIBF)] 중국 국제 배터리 박람회 참석을 통한 제조 지능화 동향 파악 출장</t>
        </is>
      </c>
      <c r="F20" s="299" t="n"/>
      <c r="G20" s="299" t="n"/>
      <c r="H20" s="299" t="n"/>
      <c r="I20" s="299" t="n"/>
      <c r="J20" s="304" t="n">
        <v>2756333</v>
      </c>
      <c r="K20" s="299" t="n"/>
    </row>
    <row r="21">
      <c r="B21" s="301" t="n">
        <v>2</v>
      </c>
      <c r="C21" s="40" t="inlineStr">
        <is>
          <t>FDC DX</t>
        </is>
      </c>
      <c r="D21" s="40" t="inlineStr">
        <is>
          <t>B2604080008</t>
        </is>
      </c>
      <c r="E21" s="36" t="inlineStr">
        <is>
          <t xml:space="preserve">	[품의서][해외출장] ESMI 법인 모듈/팩 공정 DX 과제 수행</t>
        </is>
      </c>
      <c r="F21" s="299" t="n">
        <v>5582509</v>
      </c>
      <c r="G21" s="299" t="n">
        <v>3736900</v>
      </c>
      <c r="H21" s="299" t="n">
        <v>4571275</v>
      </c>
      <c r="I21" s="299" t="n">
        <v>467610</v>
      </c>
      <c r="J21" s="299" t="n">
        <v>14358294</v>
      </c>
      <c r="K21" s="299" t="n"/>
    </row>
    <row r="22">
      <c r="B22" s="301" t="n">
        <v>2</v>
      </c>
      <c r="C22" s="40" t="inlineStr">
        <is>
          <t>FDC DX</t>
        </is>
      </c>
      <c r="D22" s="40" t="inlineStr">
        <is>
          <t xml:space="preserve">	B2604080022</t>
        </is>
      </c>
      <c r="E22" s="36" t="inlineStr">
        <is>
          <t>ESMI L&amp;S 수율 안정화 및 가동률 개선 지원</t>
        </is>
      </c>
      <c r="F22" s="299" t="n"/>
      <c r="G22" s="299" t="n"/>
      <c r="H22" s="299" t="n"/>
      <c r="I22" s="299" t="n"/>
      <c r="J22" s="299">
        <f>32334517+160000</f>
        <v/>
      </c>
      <c r="K22" s="299" t="n"/>
    </row>
    <row r="23">
      <c r="B23" s="301" t="n">
        <v>2</v>
      </c>
      <c r="C23" s="69" t="inlineStr">
        <is>
          <t>자동보정</t>
        </is>
      </c>
      <c r="D23" s="40" t="inlineStr">
        <is>
          <t>B2604090013</t>
        </is>
      </c>
      <c r="E23" s="36" t="inlineStr">
        <is>
          <t>ESMI L&amp;S 신규 자동보정 기술 5건 적용 및 전사 DX 과제 추진 가속화</t>
        </is>
      </c>
      <c r="F23" s="299" t="n"/>
      <c r="G23" s="299" t="n"/>
      <c r="H23" s="299" t="n"/>
      <c r="I23" s="299" t="n"/>
      <c r="J23" s="299" t="n">
        <v>20867143</v>
      </c>
      <c r="K23" s="299" t="n"/>
    </row>
    <row r="24">
      <c r="B24" s="301" t="n">
        <v>2</v>
      </c>
      <c r="C24" s="40" t="inlineStr">
        <is>
          <t>품질DX</t>
        </is>
      </c>
      <c r="D24" s="46" t="inlineStr">
        <is>
          <t>B2605260050</t>
        </is>
      </c>
      <c r="E24" s="49" t="inlineStr">
        <is>
          <t xml:space="preserve">Audi TMM </t>
        </is>
      </c>
      <c r="F24" s="299" t="n">
        <v>1180684</v>
      </c>
      <c r="G24" s="299" t="n">
        <v>6641094</v>
      </c>
      <c r="H24" s="299" t="n">
        <v>708279</v>
      </c>
      <c r="I24" s="299" t="n">
        <v>9000</v>
      </c>
      <c r="J24" s="304">
        <f>SUM(F24:I24)</f>
        <v/>
      </c>
      <c r="K24" s="299" t="n"/>
    </row>
    <row r="25">
      <c r="B25" s="301" t="n">
        <v>2</v>
      </c>
      <c r="C25" s="69" t="inlineStr">
        <is>
          <t>자동보정</t>
        </is>
      </c>
      <c r="D25" s="46" t="inlineStr">
        <is>
          <t>B2605070002</t>
        </is>
      </c>
      <c r="E25" s="49" t="inlineStr">
        <is>
          <t>중국 법인 자동보정 활용률 제고 및 제조 지능화 동향 파악 출장</t>
        </is>
      </c>
      <c r="F25" s="299" t="n"/>
      <c r="G25" s="299" t="n"/>
      <c r="H25" s="299" t="n"/>
      <c r="I25" s="299" t="n"/>
      <c r="J25" s="299" t="n">
        <v>8423391</v>
      </c>
      <c r="K25" s="299" t="n"/>
    </row>
    <row r="26">
      <c r="B26" s="301" t="n">
        <v>2</v>
      </c>
      <c r="C26" s="40" t="inlineStr">
        <is>
          <t>FDC DX</t>
        </is>
      </c>
      <c r="D26" s="46" t="inlineStr">
        <is>
          <t>B2606080059</t>
        </is>
      </c>
      <c r="E26" s="49" t="inlineStr">
        <is>
          <t xml:space="preserve">	NJ Winder FDC 내재화 지원을 위한 긴급 출장 요청 대응</t>
        </is>
      </c>
      <c r="F26" s="299" t="n">
        <v>1702118</v>
      </c>
      <c r="G26" s="299" t="n">
        <v>1620808</v>
      </c>
      <c r="H26" s="299" t="n">
        <v>1201477</v>
      </c>
      <c r="I26" s="299" t="n">
        <v>59340</v>
      </c>
      <c r="J26" s="299" t="n">
        <v>4583743</v>
      </c>
      <c r="K26" s="299" t="n"/>
    </row>
    <row r="27">
      <c r="B27" s="301" t="n">
        <v>2</v>
      </c>
      <c r="C27" s="40" t="inlineStr">
        <is>
          <t>FDC DX</t>
        </is>
      </c>
      <c r="D27" s="46" t="inlineStr">
        <is>
          <t>B2605070048</t>
        </is>
      </c>
      <c r="E27" s="50" t="inlineStr">
        <is>
          <t xml:space="preserve">ESWA법인 '26년 WA 롤프레스 단선 개선 과제 (전사DX과제 건) &amp; 노칭 NG마킹 불량 개선(NND) </t>
        </is>
      </c>
      <c r="F27" s="299" t="n"/>
      <c r="G27" s="299" t="n"/>
      <c r="H27" s="299" t="n"/>
      <c r="I27" s="299" t="n"/>
      <c r="J27" s="299" t="n">
        <v>15529077</v>
      </c>
      <c r="K27" s="299" t="n"/>
    </row>
    <row r="28">
      <c r="B28" s="301" t="n">
        <v>2</v>
      </c>
      <c r="C28" s="40" t="inlineStr">
        <is>
          <t>품질DX</t>
        </is>
      </c>
      <c r="D28" s="46" t="inlineStr">
        <is>
          <t>B2605260038</t>
        </is>
      </c>
      <c r="E28" s="48" t="inlineStr">
        <is>
          <t>[품의서] ESS Project 수행관련 북미 지역 ESVT 법인 주요 시스템 분석 및 PWS 사 IT 시스템 Pain points 점검을 위한 출장 件</t>
        </is>
      </c>
      <c r="F28" s="299" t="n"/>
      <c r="G28" s="299" t="n"/>
      <c r="H28" s="299" t="n"/>
      <c r="I28" s="299" t="n"/>
      <c r="J28" s="299" t="n">
        <v>33616303</v>
      </c>
      <c r="K28" s="299" t="n"/>
    </row>
    <row r="29">
      <c r="B29" s="301" t="n"/>
      <c r="C29" s="40" t="n"/>
      <c r="D29" s="40" t="n"/>
      <c r="E29" s="36" t="n"/>
      <c r="F29" s="299" t="n"/>
      <c r="G29" s="299" t="n"/>
      <c r="H29" s="299" t="n"/>
      <c r="I29" s="299" t="n"/>
      <c r="J29" s="299" t="n"/>
      <c r="K29" s="299" t="n"/>
    </row>
    <row r="30">
      <c r="B30" s="301" t="n"/>
      <c r="C30" s="40" t="n"/>
      <c r="D30" s="40" t="n"/>
      <c r="E30" s="36" t="n"/>
      <c r="F30" s="299" t="n"/>
      <c r="G30" s="299" t="n"/>
      <c r="H30" s="299" t="n"/>
      <c r="I30" s="299" t="n"/>
      <c r="J30" s="299" t="n"/>
      <c r="K30" s="299" t="n"/>
    </row>
    <row r="31">
      <c r="B31" s="301" t="n"/>
      <c r="C31" s="40" t="n"/>
      <c r="D31" s="40" t="n"/>
      <c r="E31" s="36" t="n"/>
      <c r="F31" s="299" t="n"/>
      <c r="G31" s="299" t="n"/>
      <c r="H31" s="299" t="n"/>
      <c r="I31" s="299" t="n"/>
      <c r="J31" s="299" t="n"/>
      <c r="K31" s="299" t="n"/>
    </row>
    <row r="32">
      <c r="B32" s="301" t="n"/>
      <c r="C32" s="40" t="n"/>
      <c r="D32" s="40" t="n"/>
      <c r="E32" s="36" t="n"/>
      <c r="F32" s="299" t="n"/>
      <c r="G32" s="299" t="n"/>
      <c r="H32" s="299" t="n"/>
      <c r="I32" s="299" t="n"/>
      <c r="J32" s="299" t="n"/>
      <c r="K32" s="299" t="n"/>
    </row>
    <row r="33">
      <c r="B33" s="301" t="n"/>
      <c r="C33" s="40" t="n"/>
      <c r="D33" s="40" t="n"/>
      <c r="E33" s="36" t="n"/>
      <c r="F33" s="299" t="n"/>
      <c r="G33" s="299" t="n"/>
      <c r="H33" s="299" t="n"/>
      <c r="I33" s="299" t="n"/>
      <c r="J33" s="299" t="n"/>
      <c r="K33" s="299" t="n"/>
    </row>
    <row r="34">
      <c r="B34" s="301" t="n"/>
      <c r="C34" s="40" t="n"/>
      <c r="D34" s="46" t="n"/>
      <c r="E34" s="48" t="n"/>
      <c r="F34" s="299" t="n"/>
      <c r="G34" s="299" t="n"/>
      <c r="H34" s="299" t="n"/>
      <c r="I34" s="299" t="n"/>
      <c r="J34" s="299" t="n"/>
      <c r="K34" s="299" t="n"/>
    </row>
    <row r="35">
      <c r="B35" s="305" t="n"/>
      <c r="C35" s="125" t="n"/>
      <c r="D35" s="40" t="n"/>
      <c r="E35" s="41" t="n"/>
      <c r="F35" s="299" t="n"/>
      <c r="G35" s="299" t="n"/>
      <c r="H35" s="299" t="n"/>
      <c r="I35" s="299" t="n"/>
      <c r="J35" s="299" t="n"/>
      <c r="K35" s="299" t="n"/>
    </row>
    <row r="36">
      <c r="B36" s="305" t="n"/>
      <c r="C36" s="40" t="n"/>
      <c r="D36" s="46" t="n"/>
      <c r="E36" s="48" t="n"/>
      <c r="F36" s="299" t="n"/>
      <c r="G36" s="299" t="n"/>
      <c r="H36" s="299" t="n"/>
      <c r="I36" s="299" t="n"/>
      <c r="J36" s="299" t="n"/>
      <c r="K36" s="299" t="n"/>
    </row>
    <row r="37">
      <c r="B37" s="305" t="n"/>
      <c r="C37" s="125" t="n"/>
      <c r="D37" s="40" t="n"/>
      <c r="E37" s="41" t="n"/>
      <c r="F37" s="299" t="n"/>
      <c r="G37" s="299" t="n"/>
      <c r="H37" s="299" t="n"/>
      <c r="I37" s="299" t="n"/>
      <c r="J37" s="299" t="n"/>
      <c r="K37" s="299" t="n"/>
    </row>
    <row r="38">
      <c r="B38" s="305" t="n"/>
      <c r="C38" s="40" t="n"/>
      <c r="D38" s="40" t="n"/>
      <c r="E38" s="41" t="n"/>
      <c r="F38" s="299" t="n"/>
      <c r="G38" s="299" t="n"/>
      <c r="H38" s="299" t="n"/>
      <c r="I38" s="299" t="n"/>
      <c r="J38" s="299" t="n"/>
      <c r="K38" s="299" t="n"/>
    </row>
    <row r="39">
      <c r="B39" s="305" t="n"/>
      <c r="C39" s="40" t="n"/>
      <c r="D39" s="40" t="n"/>
      <c r="E39" s="47" t="n"/>
      <c r="F39" s="299" t="n"/>
      <c r="G39" s="299" t="n"/>
      <c r="H39" s="299" t="n"/>
      <c r="I39" s="299" t="n"/>
      <c r="J39" s="299" t="n"/>
      <c r="K39" s="299" t="n"/>
    </row>
    <row r="40">
      <c r="B40" s="301" t="n"/>
      <c r="C40" s="40" t="n"/>
      <c r="D40" s="46" t="n"/>
      <c r="E40" s="48" t="n"/>
      <c r="F40" s="299" t="n"/>
      <c r="G40" s="299" t="n"/>
      <c r="H40" s="299" t="n"/>
      <c r="I40" s="299" t="n"/>
      <c r="J40" s="299" t="n"/>
      <c r="K40" s="299" t="n"/>
    </row>
    <row r="41">
      <c r="B41" s="305" t="n"/>
      <c r="C41" s="125" t="n"/>
      <c r="D41" s="40" t="n"/>
      <c r="E41" s="36" t="n"/>
      <c r="F41" s="299" t="n"/>
      <c r="G41" s="299" t="n"/>
      <c r="H41" s="299" t="n"/>
      <c r="I41" s="299" t="n"/>
      <c r="J41" s="299" t="n"/>
      <c r="K41" s="299" t="n"/>
    </row>
    <row r="42">
      <c r="B42" s="305" t="n"/>
      <c r="C42" s="125" t="n"/>
      <c r="D42" s="40" t="n"/>
      <c r="E42" s="41" t="n"/>
      <c r="F42" s="299" t="n"/>
      <c r="G42" s="299" t="n"/>
      <c r="H42" s="299" t="n"/>
      <c r="I42" s="299" t="n"/>
      <c r="J42" s="299" t="n"/>
      <c r="K42" s="299" t="n"/>
    </row>
    <row r="43">
      <c r="B43" s="305" t="n"/>
      <c r="C43" s="40" t="n"/>
      <c r="D43" s="40" t="n"/>
      <c r="E43" s="41" t="n"/>
      <c r="F43" s="299" t="n"/>
      <c r="G43" s="299" t="n"/>
      <c r="H43" s="299" t="n"/>
      <c r="I43" s="299" t="n"/>
      <c r="J43" s="299" t="n"/>
      <c r="K43" s="299" t="n"/>
    </row>
    <row r="44">
      <c r="B44" s="305" t="n"/>
      <c r="C44" s="125" t="n"/>
      <c r="D44" s="46" t="n"/>
      <c r="E44" s="36" t="n"/>
      <c r="F44" s="299" t="n"/>
      <c r="G44" s="299" t="n"/>
      <c r="H44" s="299" t="n"/>
      <c r="I44" s="299" t="n"/>
      <c r="J44" s="299" t="n"/>
      <c r="K44" s="299" t="n"/>
    </row>
    <row r="45">
      <c r="B45" s="305" t="n"/>
      <c r="C45" s="127" t="n"/>
      <c r="D45" s="46" t="n"/>
      <c r="E45" s="36" t="n"/>
      <c r="F45" s="299" t="n"/>
      <c r="G45" s="299" t="n"/>
      <c r="H45" s="299" t="n"/>
      <c r="I45" s="299" t="n"/>
      <c r="J45" s="299" t="n"/>
      <c r="K45" s="299" t="n"/>
    </row>
    <row r="46">
      <c r="B46" s="305" t="n"/>
      <c r="C46" s="125" t="n"/>
      <c r="D46" s="54" t="n"/>
      <c r="E46" s="55" t="n"/>
      <c r="F46" s="299" t="n"/>
      <c r="G46" s="299" t="n"/>
      <c r="H46" s="299" t="n"/>
      <c r="I46" s="299" t="n"/>
      <c r="J46" s="299" t="n"/>
      <c r="K46" s="299" t="n"/>
    </row>
    <row r="47">
      <c r="B47" s="305" t="n"/>
      <c r="C47" s="40" t="n"/>
      <c r="D47" s="40" t="n"/>
      <c r="E47" s="36" t="n"/>
      <c r="F47" s="299" t="n"/>
      <c r="G47" s="299" t="n"/>
      <c r="H47" s="299" t="n"/>
      <c r="I47" s="299" t="n"/>
      <c r="J47" s="299" t="n"/>
      <c r="K47" s="299" t="n"/>
    </row>
    <row r="48">
      <c r="B48" s="305" t="n"/>
      <c r="C48" s="40" t="n"/>
      <c r="D48" s="46" t="n"/>
      <c r="E48" s="48" t="n"/>
      <c r="F48" s="299" t="n"/>
      <c r="G48" s="299" t="n"/>
      <c r="H48" s="299" t="n"/>
      <c r="I48" s="299" t="n"/>
      <c r="J48" s="299" t="n"/>
      <c r="K48" s="299" t="n"/>
    </row>
    <row r="49">
      <c r="B49" s="305" t="n"/>
      <c r="C49" s="127" t="n"/>
      <c r="D49" s="46" t="n"/>
      <c r="E49" s="49" t="n"/>
      <c r="F49" s="299" t="n"/>
      <c r="G49" s="299" t="n"/>
      <c r="H49" s="299" t="n"/>
      <c r="I49" s="299" t="n"/>
      <c r="J49" s="299" t="n"/>
      <c r="K49" s="299" t="n"/>
    </row>
    <row r="50">
      <c r="B50" s="305" t="n"/>
      <c r="C50" s="40" t="n"/>
      <c r="D50" s="40" t="n"/>
      <c r="E50" s="126" t="n"/>
      <c r="F50" s="299" t="n"/>
      <c r="G50" s="299" t="n"/>
      <c r="H50" s="299" t="n"/>
      <c r="I50" s="299" t="n"/>
      <c r="J50" s="299" t="n"/>
      <c r="K50" s="299" t="n"/>
    </row>
    <row r="51">
      <c r="B51" s="305" t="n"/>
      <c r="C51" s="125" t="n"/>
      <c r="D51" s="46" t="n"/>
      <c r="E51" s="49" t="n"/>
      <c r="F51" s="299" t="n"/>
      <c r="G51" s="299" t="n"/>
      <c r="H51" s="299" t="n"/>
      <c r="I51" s="299" t="n"/>
      <c r="J51" s="299" t="n"/>
      <c r="K51" s="299" t="n"/>
    </row>
    <row r="52">
      <c r="B52" s="305" t="n"/>
      <c r="C52" s="40" t="n"/>
      <c r="D52" s="40" t="n"/>
      <c r="E52" s="41" t="n"/>
      <c r="F52" s="299" t="n"/>
      <c r="G52" s="299" t="n"/>
      <c r="H52" s="299" t="n"/>
      <c r="I52" s="299" t="n"/>
      <c r="J52" s="299" t="n"/>
      <c r="K52" s="299" t="n"/>
    </row>
    <row r="53">
      <c r="B53" s="305" t="n"/>
      <c r="C53" s="40" t="n"/>
      <c r="D53" s="40" t="n"/>
      <c r="E53" s="36" t="n"/>
      <c r="F53" s="299" t="n"/>
      <c r="G53" s="299" t="n"/>
      <c r="H53" s="299" t="n"/>
      <c r="I53" s="299" t="n"/>
      <c r="J53" s="299" t="n"/>
      <c r="K53" s="299" t="n"/>
    </row>
    <row r="54">
      <c r="B54" s="305" t="n"/>
      <c r="C54" s="125" t="n"/>
      <c r="D54" s="46" t="n"/>
      <c r="E54" s="49" t="n"/>
      <c r="F54" s="299" t="n"/>
      <c r="G54" s="299" t="n"/>
      <c r="H54" s="299" t="n"/>
      <c r="I54" s="299" t="n"/>
      <c r="J54" s="299" t="n"/>
      <c r="K54" s="299" t="n"/>
    </row>
    <row r="55">
      <c r="B55" s="305" t="n"/>
      <c r="C55" s="127" t="n"/>
      <c r="D55" s="40" t="n"/>
      <c r="E55" s="36" t="n"/>
      <c r="F55" s="299" t="n"/>
      <c r="G55" s="299" t="n"/>
      <c r="H55" s="299" t="n"/>
      <c r="I55" s="299" t="n"/>
      <c r="J55" s="299" t="n"/>
      <c r="K55" s="299" t="n"/>
    </row>
    <row r="56">
      <c r="B56" s="305" t="n"/>
      <c r="C56" s="125" t="n"/>
      <c r="D56" s="40" t="n"/>
      <c r="E56" s="36" t="n"/>
      <c r="F56" s="299" t="n"/>
      <c r="G56" s="299" t="n"/>
      <c r="H56" s="299" t="n"/>
      <c r="I56" s="299" t="n"/>
      <c r="J56" s="299" t="n"/>
      <c r="K56" s="299" t="n"/>
    </row>
    <row r="57">
      <c r="B57" s="305" t="n"/>
      <c r="C57" s="125" t="n"/>
      <c r="D57" s="40" t="n"/>
      <c r="E57" s="41" t="n"/>
      <c r="F57" s="299" t="n"/>
      <c r="G57" s="299" t="n"/>
      <c r="H57" s="299" t="n"/>
      <c r="I57" s="299" t="n"/>
      <c r="J57" s="299" t="n"/>
      <c r="K57" s="299" t="n"/>
    </row>
    <row r="58">
      <c r="B58" s="305" t="n"/>
      <c r="C58" s="125" t="n"/>
      <c r="D58" s="40" t="n"/>
      <c r="E58" s="36" t="n"/>
      <c r="F58" s="299" t="n"/>
      <c r="G58" s="299" t="n"/>
      <c r="H58" s="299" t="n"/>
      <c r="I58" s="299" t="n"/>
      <c r="J58" s="299" t="n"/>
      <c r="K58" s="299" t="n"/>
    </row>
    <row r="59">
      <c r="B59" s="305" t="n"/>
      <c r="C59" s="125" t="n"/>
      <c r="D59" s="40" t="n"/>
      <c r="E59" s="36" t="n"/>
      <c r="F59" s="299" t="n"/>
      <c r="G59" s="299" t="n"/>
      <c r="H59" s="299" t="n"/>
      <c r="I59" s="299" t="n"/>
      <c r="J59" s="299" t="n"/>
      <c r="K59" s="299" t="n"/>
    </row>
    <row r="60">
      <c r="B60" s="305" t="n"/>
      <c r="C60" s="125" t="n"/>
      <c r="D60" s="40" t="n"/>
      <c r="E60" s="36" t="n"/>
      <c r="F60" s="299" t="n"/>
      <c r="G60" s="299" t="n"/>
      <c r="H60" s="299" t="n"/>
      <c r="I60" s="299" t="n"/>
      <c r="J60" s="299" t="n"/>
      <c r="K60" s="299" t="n"/>
    </row>
    <row r="61">
      <c r="B61" s="305" t="n"/>
      <c r="C61" s="40" t="n"/>
      <c r="D61" s="40" t="n"/>
      <c r="E61" s="36" t="n"/>
      <c r="F61" s="299" t="n"/>
      <c r="G61" s="299" t="n"/>
      <c r="H61" s="299" t="n"/>
      <c r="I61" s="299" t="n"/>
      <c r="J61" s="299" t="n"/>
      <c r="K61" s="299" t="n"/>
    </row>
    <row r="62">
      <c r="B62" s="301" t="n"/>
      <c r="C62" s="125" t="n"/>
      <c r="D62" s="40" t="n"/>
      <c r="E62" s="36" t="n"/>
      <c r="F62" s="299" t="n"/>
      <c r="G62" s="299" t="n"/>
      <c r="H62" s="299" t="n"/>
      <c r="I62" s="299" t="n"/>
      <c r="J62" s="299" t="n"/>
      <c r="K62" s="299" t="n"/>
    </row>
    <row r="63">
      <c r="B63" s="301" t="n"/>
      <c r="C63" s="125" t="n"/>
      <c r="D63" s="40" t="n"/>
      <c r="E63" s="41" t="n"/>
      <c r="F63" s="299" t="n"/>
      <c r="G63" s="299" t="n"/>
      <c r="H63" s="299" t="n"/>
      <c r="I63" s="299" t="n"/>
      <c r="J63" s="299" t="n"/>
      <c r="K63" s="299" t="n"/>
    </row>
    <row r="64">
      <c r="B64" s="301" t="n"/>
      <c r="C64" s="127" t="n"/>
      <c r="D64" s="40" t="n"/>
      <c r="E64" s="36" t="n"/>
      <c r="F64" s="299" t="n"/>
      <c r="G64" s="299" t="n"/>
      <c r="H64" s="299" t="n"/>
      <c r="I64" s="299" t="n"/>
      <c r="J64" s="299" t="n"/>
      <c r="K64" s="299" t="n"/>
    </row>
    <row r="65">
      <c r="B65" s="301" t="n"/>
      <c r="C65" s="127" t="n"/>
      <c r="D65" s="40" t="n"/>
      <c r="E65" s="36" t="n"/>
      <c r="F65" s="299" t="n"/>
      <c r="G65" s="299" t="n"/>
      <c r="H65" s="299" t="n"/>
      <c r="I65" s="299" t="n"/>
      <c r="J65" s="299" t="n"/>
      <c r="K65" s="299" t="n"/>
    </row>
    <row r="66">
      <c r="B66" s="301" t="n"/>
      <c r="C66" s="125" t="n"/>
      <c r="D66" s="40" t="n"/>
      <c r="E66" s="36" t="n"/>
      <c r="F66" s="299" t="n"/>
      <c r="G66" s="299" t="n"/>
      <c r="H66" s="299" t="n"/>
      <c r="I66" s="299" t="n"/>
      <c r="J66" s="299" t="n"/>
      <c r="K66" s="299" t="n"/>
    </row>
    <row r="67">
      <c r="B67" s="305" t="n"/>
      <c r="C67" s="127" t="n"/>
      <c r="D67" s="40" t="n"/>
      <c r="E67" s="36" t="n"/>
      <c r="F67" s="299" t="n"/>
      <c r="G67" s="299" t="n"/>
      <c r="H67" s="299" t="n"/>
      <c r="I67" s="299" t="n"/>
      <c r="J67" s="299" t="n"/>
      <c r="K67" s="299" t="n"/>
    </row>
    <row r="68">
      <c r="B68" s="301" t="n"/>
      <c r="C68" s="40" t="n"/>
      <c r="D68" s="40" t="n"/>
      <c r="E68" s="36" t="n"/>
      <c r="F68" s="299" t="n"/>
      <c r="G68" s="299" t="n"/>
      <c r="H68" s="299" t="n"/>
      <c r="I68" s="299" t="n"/>
      <c r="J68" s="299" t="n"/>
      <c r="K68" s="299" t="n"/>
    </row>
    <row r="69">
      <c r="B69" s="301" t="n"/>
      <c r="C69" s="40" t="n"/>
      <c r="D69" s="40" t="n"/>
      <c r="E69" s="36" t="n"/>
      <c r="F69" s="299" t="n"/>
      <c r="G69" s="299" t="n"/>
      <c r="H69" s="299" t="n"/>
      <c r="I69" s="299" t="n"/>
      <c r="J69" s="299" t="n"/>
      <c r="K69" s="299" t="n"/>
    </row>
    <row r="70">
      <c r="B70" s="301" t="n"/>
      <c r="C70" s="127" t="n"/>
      <c r="D70" s="40" t="n"/>
      <c r="E70" s="36" t="n"/>
      <c r="F70" s="299" t="n"/>
      <c r="G70" s="299" t="n"/>
      <c r="H70" s="299" t="n"/>
      <c r="I70" s="299" t="n"/>
      <c r="J70" s="299" t="n"/>
      <c r="K70" s="299" t="n"/>
    </row>
    <row r="71">
      <c r="B71" s="301" t="n"/>
      <c r="C71" s="40" t="n"/>
      <c r="D71" s="40" t="n"/>
      <c r="E71" s="41" t="n"/>
      <c r="F71" s="299" t="n"/>
      <c r="G71" s="299" t="n"/>
      <c r="H71" s="299" t="n"/>
      <c r="I71" s="299" t="n"/>
      <c r="J71" s="299" t="n"/>
      <c r="K71" s="299" t="n"/>
    </row>
    <row r="72">
      <c r="B72" s="301" t="n"/>
      <c r="C72" s="125" t="n"/>
      <c r="D72" s="306" t="n"/>
      <c r="E72" s="36" t="n"/>
      <c r="F72" s="299" t="n"/>
      <c r="G72" s="299" t="n"/>
      <c r="H72" s="299" t="n"/>
      <c r="I72" s="299" t="n"/>
      <c r="J72" s="299" t="n"/>
      <c r="K72" s="299" t="n"/>
    </row>
    <row r="73">
      <c r="B73" s="301" t="n"/>
      <c r="C73" s="125" t="n"/>
      <c r="D73" s="40" t="n"/>
      <c r="E73" s="36" t="n"/>
      <c r="F73" s="299" t="n"/>
      <c r="G73" s="299" t="n"/>
      <c r="H73" s="299" t="n"/>
      <c r="I73" s="299" t="n"/>
      <c r="J73" s="299" t="n"/>
      <c r="K73" s="299" t="n"/>
    </row>
    <row r="74">
      <c r="B74" s="301" t="n"/>
      <c r="C74" s="125" t="n"/>
      <c r="D74" s="40" t="n"/>
      <c r="E74" s="36" t="n"/>
      <c r="F74" s="299" t="n"/>
      <c r="G74" s="299" t="n"/>
      <c r="H74" s="299" t="n"/>
      <c r="I74" s="299" t="n"/>
      <c r="J74" s="299" t="n"/>
      <c r="K74" s="299" t="n"/>
    </row>
    <row r="75">
      <c r="B75" s="301" t="n"/>
      <c r="C75" s="125" t="n"/>
      <c r="D75" s="40" t="n"/>
      <c r="E75" s="36" t="n"/>
      <c r="F75" s="299" t="n"/>
      <c r="G75" s="299" t="n"/>
      <c r="H75" s="299" t="n"/>
      <c r="I75" s="299" t="n"/>
      <c r="J75" s="299" t="n"/>
      <c r="K75" s="299" t="n"/>
    </row>
    <row r="76">
      <c r="B76" s="301" t="n"/>
      <c r="C76" s="125" t="n"/>
      <c r="D76" s="40" t="n"/>
      <c r="E76" s="36" t="n"/>
      <c r="F76" s="299" t="n"/>
      <c r="G76" s="299" t="n"/>
      <c r="H76" s="299" t="n"/>
      <c r="I76" s="299" t="n"/>
      <c r="J76" s="299" t="n"/>
      <c r="K76" s="299" t="n"/>
    </row>
    <row r="77">
      <c r="B77" s="301" t="n"/>
      <c r="C77" s="125" t="n"/>
      <c r="D77" s="40" t="n"/>
      <c r="E77" s="36" t="n"/>
      <c r="F77" s="299" t="n"/>
      <c r="G77" s="299" t="n"/>
      <c r="H77" s="299" t="n"/>
      <c r="I77" s="299" t="n"/>
      <c r="J77" s="299" t="n"/>
      <c r="K77" s="299" t="n"/>
    </row>
    <row r="78">
      <c r="B78" s="301" t="n"/>
      <c r="C78" s="40" t="n"/>
      <c r="D78" s="40" t="n"/>
      <c r="E78" s="36" t="n"/>
      <c r="F78" s="299" t="n"/>
      <c r="G78" s="299" t="n"/>
      <c r="H78" s="299" t="n"/>
      <c r="I78" s="299" t="n"/>
      <c r="J78" s="299" t="n"/>
      <c r="K78" s="299" t="n"/>
    </row>
    <row r="79">
      <c r="B79" s="301" t="n"/>
      <c r="C79" s="40" t="n"/>
      <c r="D79" s="40" t="n"/>
      <c r="E79" s="36" t="n"/>
      <c r="F79" s="299" t="n"/>
      <c r="G79" s="299" t="n"/>
      <c r="H79" s="299" t="n"/>
      <c r="I79" s="299" t="n"/>
      <c r="J79" s="299" t="n"/>
      <c r="K79" s="299" t="n"/>
    </row>
    <row r="80">
      <c r="B80" s="301" t="n"/>
      <c r="C80" s="125" t="n"/>
      <c r="D80" s="40" t="n"/>
      <c r="E80" s="36" t="n"/>
      <c r="F80" s="299" t="n"/>
      <c r="G80" s="299" t="n"/>
      <c r="H80" s="299" t="n"/>
      <c r="I80" s="299" t="n"/>
      <c r="J80" s="299" t="n"/>
      <c r="K80" s="299" t="n"/>
    </row>
    <row r="81">
      <c r="B81" s="301" t="n"/>
      <c r="C81" s="127" t="n"/>
      <c r="D81" s="40" t="n"/>
      <c r="E81" s="36" t="n"/>
      <c r="F81" s="299" t="n"/>
      <c r="G81" s="299" t="n"/>
      <c r="H81" s="299" t="n"/>
      <c r="I81" s="299" t="n"/>
      <c r="J81" s="299" t="n"/>
      <c r="K81" s="299" t="n"/>
    </row>
    <row r="82">
      <c r="B82" s="301" t="n"/>
      <c r="C82" s="40" t="n"/>
      <c r="D82" s="40" t="n"/>
      <c r="E82" s="36" t="n"/>
      <c r="F82" s="299" t="n"/>
      <c r="G82" s="299" t="n"/>
      <c r="H82" s="299" t="n"/>
      <c r="I82" s="299" t="n"/>
      <c r="J82" s="299" t="n"/>
      <c r="K82" s="299" t="n"/>
    </row>
    <row r="83">
      <c r="B83" s="301" t="n"/>
      <c r="C83" s="40" t="n"/>
      <c r="D83" s="40" t="n"/>
      <c r="E83" s="36" t="n"/>
      <c r="F83" s="299" t="n"/>
      <c r="G83" s="299" t="n"/>
      <c r="H83" s="299" t="n"/>
      <c r="I83" s="299" t="n"/>
      <c r="J83" s="299" t="n"/>
      <c r="K83" s="299" t="n"/>
    </row>
    <row r="84">
      <c r="B84" s="301" t="n"/>
      <c r="C84" s="127" t="n"/>
      <c r="D84" s="40" t="n"/>
      <c r="E84" s="36" t="n"/>
      <c r="F84" s="299" t="n"/>
      <c r="G84" s="299" t="n"/>
      <c r="H84" s="299" t="n"/>
      <c r="I84" s="299" t="n"/>
      <c r="J84" s="299" t="n"/>
      <c r="K84" s="299" t="n"/>
    </row>
    <row r="85">
      <c r="B85" s="301" t="n"/>
      <c r="C85" s="127" t="n"/>
      <c r="D85" s="40" t="n"/>
      <c r="E85" s="36" t="n"/>
      <c r="F85" s="299" t="n"/>
      <c r="G85" s="299" t="n"/>
      <c r="H85" s="299" t="n"/>
      <c r="I85" s="299" t="n"/>
      <c r="J85" s="299" t="n"/>
      <c r="K85" s="299" t="n"/>
    </row>
    <row r="86">
      <c r="B86" s="301" t="n"/>
      <c r="C86" s="127" t="n"/>
      <c r="D86" s="40" t="n"/>
      <c r="E86" s="36" t="n"/>
      <c r="F86" s="299" t="n"/>
      <c r="G86" s="299" t="n"/>
      <c r="H86" s="299" t="n"/>
      <c r="I86" s="299" t="n"/>
      <c r="J86" s="299" t="n"/>
      <c r="K86" s="299" t="n"/>
    </row>
    <row r="87">
      <c r="B87" s="301" t="n"/>
      <c r="C87" s="40" t="n"/>
      <c r="D87" s="40" t="n"/>
      <c r="E87" s="36" t="n"/>
      <c r="F87" s="299" t="n"/>
      <c r="G87" s="299" t="n"/>
      <c r="H87" s="299" t="n"/>
      <c r="I87" s="299" t="n"/>
      <c r="J87" s="299" t="n"/>
      <c r="K87" s="299" t="n"/>
    </row>
    <row r="88">
      <c r="B88" s="301" t="n"/>
      <c r="C88" s="40" t="n"/>
      <c r="D88" s="40" t="n"/>
      <c r="E88" s="36" t="n"/>
      <c r="F88" s="299" t="n"/>
      <c r="G88" s="299" t="n"/>
      <c r="H88" s="299" t="n"/>
      <c r="I88" s="299" t="n"/>
      <c r="J88" s="299" t="n"/>
      <c r="K88" s="299" t="n"/>
    </row>
    <row r="89">
      <c r="B89" s="301" t="n"/>
      <c r="C89" s="127" t="n"/>
      <c r="D89" s="40" t="n"/>
      <c r="E89" s="36" t="n"/>
      <c r="F89" s="299" t="n"/>
      <c r="G89" s="299" t="n"/>
      <c r="H89" s="299" t="n"/>
      <c r="I89" s="299" t="n"/>
      <c r="J89" s="299" t="n"/>
      <c r="K89" s="299" t="n"/>
    </row>
    <row r="90">
      <c r="B90" s="301" t="n"/>
      <c r="C90" s="127" t="n"/>
      <c r="D90" s="40" t="n"/>
      <c r="E90" s="36" t="n"/>
      <c r="F90" s="299" t="n"/>
      <c r="G90" s="299" t="n"/>
      <c r="H90" s="299" t="n"/>
      <c r="I90" s="299" t="n"/>
      <c r="J90" s="299" t="n"/>
      <c r="K90" s="299" t="n"/>
    </row>
    <row r="91">
      <c r="B91" s="301" t="n"/>
      <c r="C91" s="127" t="n"/>
      <c r="D91" s="40" t="n"/>
      <c r="E91" s="49" t="n"/>
      <c r="F91" s="299" t="n"/>
      <c r="G91" s="299" t="n"/>
      <c r="H91" s="299" t="n"/>
      <c r="I91" s="299" t="n"/>
      <c r="J91" s="299" t="n"/>
      <c r="K91" s="299" t="n"/>
    </row>
    <row r="92">
      <c r="B92" s="301" t="n"/>
      <c r="C92" s="40" t="n"/>
      <c r="D92" s="40" t="n"/>
      <c r="E92" s="36" t="n"/>
      <c r="F92" s="299" t="n"/>
      <c r="G92" s="299" t="n"/>
      <c r="H92" s="299" t="n"/>
      <c r="I92" s="299" t="n"/>
      <c r="J92" s="299" t="n"/>
      <c r="K92" s="299" t="n"/>
    </row>
    <row r="93">
      <c r="B93" s="301" t="n"/>
      <c r="C93" s="127" t="n"/>
      <c r="D93" s="40" t="n"/>
      <c r="E93" s="36" t="n"/>
      <c r="F93" s="299" t="n"/>
      <c r="G93" s="299" t="n"/>
      <c r="H93" s="299" t="n"/>
      <c r="I93" s="299" t="n"/>
      <c r="J93" s="299" t="n"/>
      <c r="K93" s="299" t="n"/>
    </row>
    <row r="94">
      <c r="B94" s="307" t="n"/>
      <c r="C94" s="137" t="n"/>
      <c r="D94" s="53" t="n"/>
      <c r="E94" s="135" t="n"/>
      <c r="F94" s="308" t="n"/>
      <c r="G94" s="308" t="n"/>
      <c r="H94" s="308" t="n"/>
      <c r="I94" s="308" t="n"/>
      <c r="J94" s="308" t="n"/>
      <c r="K94" s="308" t="n"/>
    </row>
    <row r="95">
      <c r="B95" s="301" t="n"/>
      <c r="C95" s="127" t="n"/>
      <c r="D95" s="40" t="n"/>
      <c r="E95" s="36" t="n"/>
      <c r="F95" s="299" t="n"/>
      <c r="G95" s="299" t="n"/>
      <c r="H95" s="299" t="n"/>
      <c r="I95" s="299" t="n"/>
      <c r="J95" s="299" t="n"/>
      <c r="K95" s="299" t="n"/>
    </row>
    <row r="96">
      <c r="B96" s="301" t="n"/>
      <c r="C96" s="40" t="n"/>
      <c r="D96" s="40" t="n"/>
      <c r="E96" s="36" t="n"/>
      <c r="F96" s="299" t="n"/>
      <c r="G96" s="299" t="n"/>
      <c r="H96" s="299" t="n"/>
      <c r="I96" s="299" t="n"/>
      <c r="J96" s="299" t="n"/>
      <c r="K96" s="299" t="n"/>
    </row>
    <row r="97">
      <c r="B97" s="301" t="n"/>
      <c r="C97" s="40" t="n"/>
      <c r="D97" s="40" t="n"/>
      <c r="E97" s="36" t="n"/>
      <c r="F97" s="299" t="n"/>
      <c r="G97" s="299" t="n"/>
      <c r="H97" s="299" t="n"/>
      <c r="I97" s="299" t="n"/>
      <c r="J97" s="299" t="n"/>
      <c r="K97" s="299" t="n"/>
    </row>
    <row r="98">
      <c r="B98" s="301" t="n"/>
      <c r="C98" s="127" t="n"/>
      <c r="D98" s="40" t="n"/>
      <c r="E98" s="36" t="n"/>
      <c r="F98" s="299" t="n"/>
      <c r="G98" s="299" t="n"/>
      <c r="H98" s="299" t="n"/>
      <c r="I98" s="299" t="n"/>
      <c r="J98" s="299" t="n"/>
      <c r="K98" s="299" t="n"/>
    </row>
    <row r="99">
      <c r="B99" s="301" t="n"/>
      <c r="C99" s="125" t="n"/>
      <c r="D99" s="40" t="n"/>
      <c r="E99" s="36" t="n"/>
      <c r="F99" s="299" t="n"/>
      <c r="G99" s="299" t="n"/>
      <c r="H99" s="299" t="n"/>
      <c r="I99" s="299" t="n"/>
      <c r="J99" s="299" t="n"/>
      <c r="K99" s="299" t="n"/>
    </row>
    <row r="100">
      <c r="B100" s="301" t="n"/>
      <c r="C100" s="127" t="n"/>
      <c r="D100" s="40" t="n"/>
      <c r="E100" s="36" t="n"/>
      <c r="F100" s="299" t="n"/>
      <c r="G100" s="299" t="n"/>
      <c r="H100" s="299" t="n"/>
      <c r="I100" s="299" t="n"/>
      <c r="J100" s="299" t="n"/>
      <c r="K100" s="299" t="n"/>
    </row>
    <row r="101">
      <c r="B101" s="301" t="n"/>
      <c r="C101" s="40" t="n"/>
      <c r="D101" s="40" t="n"/>
      <c r="E101" s="36" t="n"/>
      <c r="F101" s="299" t="n"/>
      <c r="G101" s="299" t="n"/>
      <c r="H101" s="299" t="n"/>
      <c r="I101" s="299" t="n"/>
      <c r="J101" s="299" t="n"/>
      <c r="K101" s="299" t="n"/>
    </row>
    <row r="102">
      <c r="B102" s="301" t="n"/>
      <c r="C102" s="40" t="n"/>
      <c r="D102" s="40" t="n"/>
      <c r="E102" s="36" t="n"/>
      <c r="F102" s="299" t="n"/>
      <c r="G102" s="299" t="n"/>
      <c r="H102" s="299" t="n"/>
      <c r="I102" s="299" t="n"/>
      <c r="J102" s="299" t="n"/>
      <c r="K102" s="299" t="n"/>
    </row>
    <row r="103">
      <c r="B103" s="301" t="n"/>
      <c r="C103" s="40" t="n"/>
      <c r="D103" s="40" t="n"/>
      <c r="E103" s="126" t="n"/>
      <c r="F103" s="299" t="n"/>
      <c r="G103" s="299" t="n"/>
      <c r="H103" s="299" t="n"/>
      <c r="I103" s="299" t="n"/>
      <c r="J103" s="299" t="n"/>
      <c r="K103" s="299" t="n"/>
    </row>
    <row r="104">
      <c r="B104" s="301" t="n"/>
      <c r="C104" s="40" t="n"/>
      <c r="D104" s="40" t="n"/>
      <c r="E104" s="36" t="n"/>
      <c r="F104" s="299" t="n"/>
      <c r="G104" s="299" t="n"/>
      <c r="H104" s="299" t="n"/>
      <c r="I104" s="299" t="n"/>
      <c r="J104" s="299" t="n"/>
      <c r="K104" s="299" t="n"/>
    </row>
    <row r="105">
      <c r="B105" s="301" t="n"/>
      <c r="C105" s="125" t="n"/>
      <c r="D105" s="40" t="n"/>
      <c r="E105" s="36" t="n"/>
      <c r="F105" s="299" t="n"/>
      <c r="G105" s="299" t="n"/>
      <c r="H105" s="299" t="n"/>
      <c r="I105" s="299" t="n"/>
      <c r="J105" s="299" t="n"/>
      <c r="K105" s="299" t="n"/>
    </row>
    <row r="106">
      <c r="B106" s="301" t="n"/>
      <c r="C106" s="127" t="n"/>
      <c r="D106" s="40" t="n"/>
      <c r="E106" s="36" t="n"/>
      <c r="F106" s="299" t="n"/>
      <c r="G106" s="299" t="n"/>
      <c r="H106" s="299" t="n"/>
      <c r="I106" s="299" t="n"/>
      <c r="J106" s="299" t="n"/>
      <c r="K106" s="299" t="n"/>
    </row>
  </sheetData>
  <autoFilter ref="B2:K94"/>
  <dataValidations count="3">
    <dataValidation sqref="B3:B1048576" showDropDown="0" showInputMessage="1" showErrorMessage="1" allowBlank="1" type="list">
      <formula1>"1,2,3,4"</formula1>
    </dataValidation>
    <dataValidation sqref="K1:K1048576" showDropDown="0" showInputMessage="1" showErrorMessage="1" allowBlank="1" type="custom">
      <formula1>"완료, 진행중, 예정"</formula1>
    </dataValidation>
    <dataValidation sqref="C3:C1048576" showDropDown="0" showInputMessage="1" showErrorMessage="1" allowBlank="1" type="list">
      <formula1>부문</formula1>
    </dataValidation>
  </dataValidations>
  <pageMargins left="0.7" right="0.7" top="0.75" bottom="0.75" header="0.3" footer="0.3"/>
  <pageSetup orientation="portrait" paperSize="9" verticalDpi="300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B1:AF47"/>
  <sheetViews>
    <sheetView showGridLines="0" zoomScale="70" zoomScaleNormal="70" workbookViewId="0">
      <pane ySplit="4" topLeftCell="A42" activePane="bottomLeft" state="frozen"/>
      <selection activeCell="A18" sqref="A18:XFD18"/>
      <selection pane="bottomLeft" activeCell="Q67" sqref="Q67"/>
    </sheetView>
  </sheetViews>
  <sheetFormatPr baseColWidth="8" defaultRowHeight="16.5"/>
  <cols>
    <col width="1.5" customWidth="1" style="260" min="1" max="1"/>
    <col width="7.25" customWidth="1" style="292" min="2" max="2"/>
    <col width="16" customWidth="1" style="33" min="3" max="3"/>
    <col width="70.25" customWidth="1" style="34" min="4" max="4"/>
    <col width="15.5" customWidth="1" style="33" min="5" max="5"/>
    <col width="11.875" customWidth="1" style="33" min="6" max="6"/>
    <col width="24.375" customWidth="1" style="33" min="7" max="7"/>
    <col width="14.125" customWidth="1" style="260" min="8" max="8"/>
    <col width="14.625" bestFit="1" customWidth="1" style="260" min="9" max="9"/>
    <col width="12.375" customWidth="1" style="260" min="10" max="10"/>
    <col width="17.5" bestFit="1" customWidth="1" style="260" min="11" max="11"/>
    <col width="14.125" customWidth="1" style="260" min="12" max="12"/>
    <col width="12.375" customWidth="1" style="260" min="13" max="13"/>
    <col width="14.625" bestFit="1" customWidth="1" style="260" min="14" max="14"/>
    <col width="14.125" customWidth="1" style="260" min="15" max="15"/>
    <col width="12.875" customWidth="1" style="260" min="16" max="16"/>
    <col width="10.875" customWidth="1" style="260" min="17" max="17"/>
    <col width="12.375" customWidth="1" style="260" min="18" max="19"/>
    <col width="14.125" bestFit="1" customWidth="1" style="260" min="20" max="20"/>
    <col width="12.375" customWidth="1" style="33" min="21" max="21"/>
    <col width="14.125" bestFit="1" customWidth="1" style="260" min="22" max="22"/>
    <col width="46.25" customWidth="1" style="260" min="23" max="23"/>
    <col width="2.125" customWidth="1" style="260" min="24" max="24"/>
    <col width="10.375" bestFit="1" customWidth="1" style="309" min="25" max="25"/>
    <col hidden="1" outlineLevel="1" width="13.75" customWidth="1" style="260" min="32" max="32"/>
    <col collapsed="1" width="9" customWidth="1" style="260" min="33" max="33"/>
  </cols>
  <sheetData>
    <row r="1" ht="8.25" customHeight="1" s="260" thickBot="1">
      <c r="AF1" s="36" t="inlineStr">
        <is>
          <t>제조DX솔루션</t>
        </is>
      </c>
    </row>
    <row r="2">
      <c r="B2" s="310" t="inlineStr">
        <is>
          <t>분기</t>
        </is>
      </c>
      <c r="C2" s="235" t="inlineStr">
        <is>
          <t>품의서
번호</t>
        </is>
      </c>
      <c r="D2" s="229" t="inlineStr">
        <is>
          <t>품의서
제목</t>
        </is>
      </c>
      <c r="E2" s="311" t="inlineStr">
        <is>
          <t>부문</t>
        </is>
      </c>
      <c r="F2" s="241" t="inlineStr">
        <is>
          <t>출장자</t>
        </is>
      </c>
      <c r="G2" s="229" t="inlineStr">
        <is>
          <t>출장
일정</t>
        </is>
      </c>
      <c r="H2" s="241" t="inlineStr">
        <is>
          <t>계획 비용</t>
        </is>
      </c>
      <c r="I2" s="262" t="n"/>
      <c r="J2" s="262" t="n"/>
      <c r="K2" s="262" t="n"/>
      <c r="L2" s="262" t="n"/>
      <c r="M2" s="262" t="n"/>
      <c r="N2" s="262" t="n"/>
      <c r="O2" s="262" t="n"/>
      <c r="P2" s="262" t="n"/>
      <c r="Q2" s="262" t="n"/>
      <c r="R2" s="262" t="n"/>
      <c r="S2" s="262" t="n"/>
      <c r="T2" s="262" t="n"/>
      <c r="U2" s="262" t="n"/>
      <c r="V2" s="263" t="n"/>
      <c r="W2" s="242" t="inlineStr">
        <is>
          <t>비고</t>
        </is>
      </c>
      <c r="Y2" s="312" t="inlineStr">
        <is>
          <t>비용처리
완료 유/무</t>
        </is>
      </c>
      <c r="AF2" s="36" t="inlineStr">
        <is>
          <t>자동보정</t>
        </is>
      </c>
    </row>
    <row r="3">
      <c r="B3" s="313" t="n"/>
      <c r="C3" s="314" t="n"/>
      <c r="D3" s="315" t="n"/>
      <c r="E3" s="315" t="n"/>
      <c r="F3" s="315" t="n"/>
      <c r="G3" s="315" t="n"/>
      <c r="H3" s="230" t="inlineStr">
        <is>
          <t>숙박비</t>
        </is>
      </c>
      <c r="I3" s="230" t="inlineStr">
        <is>
          <t>교통비</t>
        </is>
      </c>
      <c r="J3" s="266" t="n"/>
      <c r="K3" s="266" t="n"/>
      <c r="L3" s="267" t="n"/>
      <c r="M3" s="230" t="inlineStr">
        <is>
          <t>일당</t>
        </is>
      </c>
      <c r="N3" s="266" t="n"/>
      <c r="O3" s="267" t="n"/>
      <c r="P3" s="230" t="inlineStr">
        <is>
          <t>기타잡비</t>
        </is>
      </c>
      <c r="Q3" s="266" t="n"/>
      <c r="R3" s="266" t="n"/>
      <c r="S3" s="267" t="n"/>
      <c r="T3" s="230" t="inlineStr">
        <is>
          <t>법인 지원 비용</t>
        </is>
      </c>
      <c r="U3" s="267" t="n"/>
      <c r="V3" s="249" t="inlineStr">
        <is>
          <t>합계</t>
        </is>
      </c>
      <c r="W3" s="316" t="n"/>
      <c r="Y3" s="317" t="n"/>
      <c r="AF3" s="36" t="inlineStr">
        <is>
          <t>FDC DX</t>
        </is>
      </c>
    </row>
    <row r="4" ht="17.25" customHeight="1" s="260" thickBot="1">
      <c r="B4" s="269" t="n"/>
      <c r="C4" s="318" t="n"/>
      <c r="D4" s="270" t="n"/>
      <c r="E4" s="319" t="n"/>
      <c r="F4" s="270" t="n"/>
      <c r="G4" s="270" t="n"/>
      <c r="H4" s="270" t="n"/>
      <c r="I4" s="231" t="inlineStr">
        <is>
          <t>항공비</t>
        </is>
      </c>
      <c r="J4" s="231" t="inlineStr">
        <is>
          <t>렌트비</t>
        </is>
      </c>
      <c r="K4" s="231" t="inlineStr">
        <is>
          <t>공항 이동비</t>
        </is>
      </c>
      <c r="L4" s="38" t="inlineStr">
        <is>
          <t>소계</t>
        </is>
      </c>
      <c r="M4" s="231" t="inlineStr">
        <is>
          <t>단기</t>
        </is>
      </c>
      <c r="N4" s="231" t="inlineStr">
        <is>
          <t>장기</t>
        </is>
      </c>
      <c r="O4" s="38" t="inlineStr">
        <is>
          <t>소계</t>
        </is>
      </c>
      <c r="P4" s="231" t="inlineStr">
        <is>
          <t>준비금</t>
        </is>
      </c>
      <c r="Q4" s="231" t="inlineStr">
        <is>
          <t>통신비</t>
        </is>
      </c>
      <c r="R4" s="231" t="inlineStr">
        <is>
          <t>기타</t>
        </is>
      </c>
      <c r="S4" s="38" t="inlineStr">
        <is>
          <t>소계</t>
        </is>
      </c>
      <c r="T4" s="38" t="inlineStr">
        <is>
          <t>지원비</t>
        </is>
      </c>
      <c r="U4" s="38" t="inlineStr">
        <is>
          <t>Site</t>
        </is>
      </c>
      <c r="V4" s="270" t="n"/>
      <c r="W4" s="320" t="n"/>
      <c r="Y4" s="321" t="n"/>
      <c r="AF4" s="36" t="inlineStr">
        <is>
          <t>품질DX</t>
        </is>
      </c>
    </row>
    <row r="5" hidden="1" s="260">
      <c r="B5" s="298" t="n">
        <v>1</v>
      </c>
      <c r="C5" s="40" t="inlineStr">
        <is>
          <t>B2601130039</t>
        </is>
      </c>
      <c r="D5" s="41" t="inlineStr">
        <is>
          <t>[해외출장, ESST] 롤프레스 단선 개선 협업 논의 및 코터 연결불량 loss 개선안 출장계획</t>
        </is>
      </c>
      <c r="E5" s="40" t="inlineStr">
        <is>
          <t>FDC DX</t>
        </is>
      </c>
      <c r="F5" s="40" t="inlineStr">
        <is>
          <t>홍준혁</t>
        </is>
      </c>
      <c r="G5" s="40" t="inlineStr">
        <is>
          <t>2026-01-20~2026-02-14</t>
        </is>
      </c>
      <c r="H5" s="299" t="n">
        <v>4200000</v>
      </c>
      <c r="I5" s="299" t="n">
        <v>2400000</v>
      </c>
      <c r="J5" s="299" t="n"/>
      <c r="K5" s="299" t="n">
        <v>100000</v>
      </c>
      <c r="L5" s="299" t="n">
        <v>2500000</v>
      </c>
      <c r="M5" s="299" t="n"/>
      <c r="N5" s="299" t="n">
        <v>3867313</v>
      </c>
      <c r="O5" s="299" t="n">
        <v>3867313</v>
      </c>
      <c r="P5" s="299" t="n">
        <v>2450000</v>
      </c>
      <c r="Q5" s="299" t="n">
        <v>250000</v>
      </c>
      <c r="R5" s="299" t="n">
        <v>250000</v>
      </c>
      <c r="S5" s="299" t="n">
        <v>2950000</v>
      </c>
      <c r="T5" s="299" t="n"/>
      <c r="U5" s="322" t="n"/>
      <c r="V5" s="299" t="n">
        <v>13517313</v>
      </c>
      <c r="W5" s="36" t="inlineStr">
        <is>
          <t>기타잡비 : 입국수수료 및 준비금
준비금 : visa 처리비($1400) 및 진단검사비</t>
        </is>
      </c>
      <c r="Y5" s="323" t="n">
        <v>1</v>
      </c>
    </row>
    <row r="6" hidden="1" s="260">
      <c r="B6" s="301" t="n">
        <v>1</v>
      </c>
      <c r="C6" s="40" t="inlineStr">
        <is>
          <t>B2601130039</t>
        </is>
      </c>
      <c r="D6" s="41" t="inlineStr">
        <is>
          <t>[해외출장, ESST] 롤프레스 단선 개선 협업 논의 및 코터 연결불량 loss 개선안 출장계획</t>
        </is>
      </c>
      <c r="E6" s="40" t="inlineStr">
        <is>
          <t>FDC DX</t>
        </is>
      </c>
      <c r="F6" s="40" t="inlineStr">
        <is>
          <t>이창성</t>
        </is>
      </c>
      <c r="G6" s="40" t="inlineStr">
        <is>
          <t>2026-01-20~2026-02-14</t>
        </is>
      </c>
      <c r="H6" s="299" t="n">
        <v>4200000</v>
      </c>
      <c r="I6" s="299" t="n">
        <v>2400000</v>
      </c>
      <c r="J6" s="299" t="n">
        <v>2000000</v>
      </c>
      <c r="K6" s="299" t="n">
        <v>100000</v>
      </c>
      <c r="L6" s="299" t="n">
        <v>4500000</v>
      </c>
      <c r="M6" s="299" t="n"/>
      <c r="N6" s="299" t="n">
        <v>3867313</v>
      </c>
      <c r="O6" s="299" t="n">
        <v>3867313</v>
      </c>
      <c r="P6" s="299" t="n">
        <v>2450000</v>
      </c>
      <c r="Q6" s="299" t="n">
        <v>250000</v>
      </c>
      <c r="R6" s="299" t="n">
        <v>250000</v>
      </c>
      <c r="S6" s="299" t="n">
        <v>2950000</v>
      </c>
      <c r="T6" s="299" t="n"/>
      <c r="U6" s="322" t="n"/>
      <c r="V6" s="299" t="n">
        <v>15517313</v>
      </c>
      <c r="W6" s="36" t="inlineStr">
        <is>
          <t>기타잡비 : 입국수수료 및 준비금
준비금 : visa 처리비($1400) 및 진단검사비</t>
        </is>
      </c>
      <c r="Y6" s="323" t="n">
        <v>1</v>
      </c>
    </row>
    <row r="7" hidden="1" s="260">
      <c r="B7" s="301" t="n">
        <v>1</v>
      </c>
      <c r="C7" s="40" t="inlineStr">
        <is>
          <t>B2601130078</t>
        </is>
      </c>
      <c r="D7" s="41" t="inlineStr">
        <is>
          <t xml:space="preserve">롤프레스/노칭 PD Loss 개선을 위한 자동보정 신규 개발 및 적용 출장 건 </t>
        </is>
      </c>
      <c r="E7" s="40" t="inlineStr">
        <is>
          <t>자동보정</t>
        </is>
      </c>
      <c r="F7" s="40" t="inlineStr">
        <is>
          <t>정돈규</t>
        </is>
      </c>
      <c r="G7" s="40" t="inlineStr">
        <is>
          <t>2026-01-16 ~ 2026-02-20</t>
        </is>
      </c>
      <c r="H7" s="299" t="n">
        <v>5500000</v>
      </c>
      <c r="I7" s="299" t="n">
        <v>2100000</v>
      </c>
      <c r="J7" s="299" t="n">
        <v>3600000</v>
      </c>
      <c r="K7" s="299" t="n">
        <v>200000</v>
      </c>
      <c r="L7" s="299" t="n">
        <v>5900000</v>
      </c>
      <c r="M7" s="299" t="n"/>
      <c r="N7" s="299" t="n">
        <v>5504973</v>
      </c>
      <c r="O7" s="299" t="n">
        <v>5504973</v>
      </c>
      <c r="P7" s="299" t="n">
        <v>100000</v>
      </c>
      <c r="Q7" s="299" t="n">
        <v>250000</v>
      </c>
      <c r="R7" s="299" t="inlineStr">
        <is>
          <t>-</t>
        </is>
      </c>
      <c r="S7" s="299" t="n">
        <v>350000</v>
      </c>
      <c r="T7" s="299" t="n"/>
      <c r="U7" s="322" t="n"/>
      <c r="V7" s="299" t="n">
        <v>17254973</v>
      </c>
      <c r="W7" s="36" t="n"/>
      <c r="Y7" s="323" t="n">
        <v>1</v>
      </c>
    </row>
    <row r="8" hidden="1" s="260">
      <c r="B8" s="301" t="n">
        <v>1</v>
      </c>
      <c r="C8" s="40" t="inlineStr">
        <is>
          <t>B2601130078</t>
        </is>
      </c>
      <c r="D8" s="41" t="inlineStr">
        <is>
          <t xml:space="preserve">롤프레스/노칭 PD Loss 개선을 위한 자동보정 신규 개발 및 적용 출장 건 </t>
        </is>
      </c>
      <c r="E8" s="40" t="inlineStr">
        <is>
          <t>자동보정</t>
        </is>
      </c>
      <c r="F8" s="40" t="inlineStr">
        <is>
          <t>정대영</t>
        </is>
      </c>
      <c r="G8" s="40" t="inlineStr">
        <is>
          <t>2026-01-16 ~ 2026-02-20</t>
        </is>
      </c>
      <c r="H8" s="299" t="n">
        <v>5500000</v>
      </c>
      <c r="I8" s="299" t="n">
        <v>2100000</v>
      </c>
      <c r="J8" s="299" t="inlineStr">
        <is>
          <t>-</t>
        </is>
      </c>
      <c r="K8" s="299" t="n">
        <v>200000</v>
      </c>
      <c r="L8" s="299" t="n">
        <v>2300000</v>
      </c>
      <c r="M8" s="299" t="n"/>
      <c r="N8" s="299" t="n">
        <v>5504973</v>
      </c>
      <c r="O8" s="299" t="n">
        <v>5504973</v>
      </c>
      <c r="P8" s="299" t="n">
        <v>100000</v>
      </c>
      <c r="Q8" s="299" t="n">
        <v>250000</v>
      </c>
      <c r="R8" s="299" t="inlineStr">
        <is>
          <t>-</t>
        </is>
      </c>
      <c r="S8" s="299" t="n">
        <v>350000</v>
      </c>
      <c r="T8" s="299" t="n"/>
      <c r="U8" s="322" t="n"/>
      <c r="V8" s="299" t="n">
        <v>13654973</v>
      </c>
      <c r="W8" s="36" t="n"/>
      <c r="Y8" s="323" t="n">
        <v>1</v>
      </c>
    </row>
    <row r="9" hidden="1" s="260">
      <c r="B9" s="301" t="n">
        <v>1</v>
      </c>
      <c r="C9" s="40" t="inlineStr">
        <is>
          <t>B2601130078</t>
        </is>
      </c>
      <c r="D9" s="41" t="inlineStr">
        <is>
          <t xml:space="preserve">롤프레스/노칭 PD Loss 개선을 위한 자동보정 신규 개발 및 적용 출장 건 </t>
        </is>
      </c>
      <c r="E9" s="40" t="inlineStr">
        <is>
          <t>자동보정</t>
        </is>
      </c>
      <c r="F9" s="40" t="inlineStr">
        <is>
          <t>이상용</t>
        </is>
      </c>
      <c r="G9" s="40" t="inlineStr">
        <is>
          <t>2026-01-16 ~ 2026-02-20</t>
        </is>
      </c>
      <c r="H9" s="299" t="n">
        <v>5500000</v>
      </c>
      <c r="I9" s="299" t="n">
        <v>2100000</v>
      </c>
      <c r="J9" s="299" t="inlineStr">
        <is>
          <t>-</t>
        </is>
      </c>
      <c r="K9" s="299" t="n">
        <v>200000</v>
      </c>
      <c r="L9" s="299" t="n">
        <v>2300000</v>
      </c>
      <c r="M9" s="299" t="n"/>
      <c r="N9" s="299" t="n">
        <v>5504973</v>
      </c>
      <c r="O9" s="299" t="n">
        <v>5504973</v>
      </c>
      <c r="P9" s="299" t="n">
        <v>100000</v>
      </c>
      <c r="Q9" s="299" t="n">
        <v>250000</v>
      </c>
      <c r="R9" s="299" t="inlineStr">
        <is>
          <t>-</t>
        </is>
      </c>
      <c r="S9" s="299" t="n">
        <v>350000</v>
      </c>
      <c r="T9" s="299" t="n"/>
      <c r="U9" s="322" t="n"/>
      <c r="V9" s="299" t="n">
        <v>13654973</v>
      </c>
      <c r="W9" s="36" t="n"/>
      <c r="Y9" s="323" t="n">
        <v>1</v>
      </c>
    </row>
    <row r="10" hidden="1" s="260">
      <c r="B10" s="301" t="n">
        <v>1</v>
      </c>
      <c r="C10" s="40" t="inlineStr">
        <is>
          <t>B2601130061</t>
        </is>
      </c>
      <c r="D10" s="164" t="inlineStr">
        <is>
          <t>[해외출장/ESST] ESST 롤프레스 단선 Loss 감소를 통한 ESS 수율 개선 출장 계획</t>
        </is>
      </c>
      <c r="E10" s="46" t="inlineStr">
        <is>
          <t>자동보정</t>
        </is>
      </c>
      <c r="F10" s="40" t="inlineStr">
        <is>
          <t>박상하</t>
        </is>
      </c>
      <c r="G10" s="40" t="inlineStr">
        <is>
          <t>2026/01/21~2026/02/14</t>
        </is>
      </c>
      <c r="H10" s="299" t="n">
        <v>4450000</v>
      </c>
      <c r="I10" s="299" t="n">
        <v>2000000</v>
      </c>
      <c r="J10" s="299" t="n">
        <v>0</v>
      </c>
      <c r="K10" s="299" t="n">
        <v>100000</v>
      </c>
      <c r="L10" s="299">
        <f>SUM(I10:K10)</f>
        <v/>
      </c>
      <c r="M10" s="299" t="n"/>
      <c r="N10" s="299" t="n">
        <v>3740000</v>
      </c>
      <c r="O10" s="299">
        <f>SUM(M10:N10)</f>
        <v/>
      </c>
      <c r="P10" s="299" t="n">
        <v>2000000</v>
      </c>
      <c r="Q10" s="299" t="n">
        <v>50000</v>
      </c>
      <c r="R10" s="299" t="n">
        <v>400000</v>
      </c>
      <c r="S10" s="299">
        <f>SUM(P10:R10)</f>
        <v/>
      </c>
      <c r="T10" s="299" t="n"/>
      <c r="U10" s="322" t="n"/>
      <c r="V10" s="299">
        <f>SUM(H10,S10,O10,L10)-T10</f>
        <v/>
      </c>
      <c r="W10" s="134" t="n"/>
      <c r="Y10" s="323" t="n">
        <v>1</v>
      </c>
    </row>
    <row r="11" hidden="1" s="260">
      <c r="B11" s="301" t="n">
        <v>1</v>
      </c>
      <c r="C11" s="40" t="inlineStr">
        <is>
          <t>B2601130061</t>
        </is>
      </c>
      <c r="D11" s="165" t="inlineStr">
        <is>
          <t>[해외출장/ESST] ESST 롤프레스 단선 Loss 감소를 통한 ESS 수율 개선 출장 계획</t>
        </is>
      </c>
      <c r="E11" s="40" t="inlineStr">
        <is>
          <t>자동보정</t>
        </is>
      </c>
      <c r="F11" s="40" t="inlineStr">
        <is>
          <t>박홍준</t>
        </is>
      </c>
      <c r="G11" s="40" t="inlineStr">
        <is>
          <t>2026/01/21~2026/02/14</t>
        </is>
      </c>
      <c r="H11" s="299" t="n">
        <v>4450000</v>
      </c>
      <c r="I11" s="299" t="n">
        <v>2000000</v>
      </c>
      <c r="J11" s="299" t="n">
        <v>2850000</v>
      </c>
      <c r="K11" s="299" t="n">
        <v>100000</v>
      </c>
      <c r="L11" s="299">
        <f>SUM(I11:K11)</f>
        <v/>
      </c>
      <c r="M11" s="299" t="n"/>
      <c r="N11" s="299" t="n">
        <v>3740000</v>
      </c>
      <c r="O11" s="299">
        <f>SUM(M11:N11)</f>
        <v/>
      </c>
      <c r="P11" s="299" t="n">
        <v>2000000</v>
      </c>
      <c r="Q11" s="299" t="n">
        <v>50000</v>
      </c>
      <c r="R11" s="299" t="n">
        <v>400000</v>
      </c>
      <c r="S11" s="299">
        <f>SUM(P11:R11)</f>
        <v/>
      </c>
      <c r="T11" s="299" t="n"/>
      <c r="U11" s="322" t="n"/>
      <c r="V11" s="299">
        <f>SUM(H11,S11,O11,L11)-T11</f>
        <v/>
      </c>
      <c r="W11" s="134" t="n"/>
      <c r="Y11" s="323" t="n">
        <v>1</v>
      </c>
    </row>
    <row r="12" hidden="1" s="260">
      <c r="B12" s="301" t="n">
        <v>1</v>
      </c>
      <c r="C12" s="40" t="inlineStr">
        <is>
          <t>B2601160044</t>
        </is>
      </c>
      <c r="D12" s="36" t="inlineStr">
        <is>
          <t>ESWA 코드표준화 &amp; 과검 이상감지 대표호기 적용</t>
        </is>
      </c>
      <c r="E12" s="40" t="inlineStr">
        <is>
          <t>자동보정</t>
        </is>
      </c>
      <c r="F12" s="40" t="inlineStr">
        <is>
          <t>박준오</t>
        </is>
      </c>
      <c r="G12" s="40" t="inlineStr">
        <is>
          <t xml:space="preserve">2026-01-23 ~ 2026-02-13    </t>
        </is>
      </c>
      <c r="H12" s="299" t="n">
        <v>3500000</v>
      </c>
      <c r="I12" s="299" t="n">
        <v>2000000</v>
      </c>
      <c r="J12" s="299" t="n">
        <v>2500000</v>
      </c>
      <c r="K12" s="299" t="n">
        <v>250000</v>
      </c>
      <c r="L12" s="299">
        <f>SUM(I12:K12)</f>
        <v/>
      </c>
      <c r="M12" s="299" t="n"/>
      <c r="N12" s="299" t="n">
        <v>3549702</v>
      </c>
      <c r="O12" s="299">
        <f>SUM(M12:N12)</f>
        <v/>
      </c>
      <c r="P12" s="299" t="n">
        <v>250000</v>
      </c>
      <c r="Q12" s="299" t="n"/>
      <c r="R12" s="299" t="n"/>
      <c r="S12" s="299">
        <f>SUM(P12:R12)</f>
        <v/>
      </c>
      <c r="T12" s="299" t="n"/>
      <c r="U12" s="322" t="n"/>
      <c r="V12" s="299">
        <f>SUM(H12,S12,O12,L12)-T12</f>
        <v/>
      </c>
      <c r="W12" s="36" t="n"/>
      <c r="Y12" s="323" t="n">
        <v>1</v>
      </c>
    </row>
    <row r="13" hidden="1" s="260">
      <c r="B13" s="301" t="n">
        <v>1</v>
      </c>
      <c r="C13" s="40" t="inlineStr">
        <is>
          <t>B2601160044</t>
        </is>
      </c>
      <c r="D13" s="36" t="inlineStr">
        <is>
          <t>ESWA 코드표준화 &amp; 과검 이상감지 대표호기 적용</t>
        </is>
      </c>
      <c r="E13" s="40" t="inlineStr">
        <is>
          <t>자동보정</t>
        </is>
      </c>
      <c r="F13" s="40" t="inlineStr">
        <is>
          <t>임형찬</t>
        </is>
      </c>
      <c r="G13" s="40" t="inlineStr">
        <is>
          <t xml:space="preserve">2026-01-23 ~ 2026-02-13    </t>
        </is>
      </c>
      <c r="H13" s="299" t="n">
        <v>3500000</v>
      </c>
      <c r="I13" s="299" t="n">
        <v>2000000</v>
      </c>
      <c r="J13" s="299" t="n"/>
      <c r="K13" s="299" t="n">
        <v>250000</v>
      </c>
      <c r="L13" s="299">
        <f>SUM(I13:K13)</f>
        <v/>
      </c>
      <c r="M13" s="299" t="n"/>
      <c r="N13" s="299" t="n">
        <v>3549702</v>
      </c>
      <c r="O13" s="299">
        <f>SUM(M13:N13)</f>
        <v/>
      </c>
      <c r="P13" s="299" t="n">
        <v>250000</v>
      </c>
      <c r="Q13" s="299" t="n"/>
      <c r="R13" s="299" t="n"/>
      <c r="S13" s="299">
        <f>SUM(P13:R13)</f>
        <v/>
      </c>
      <c r="T13" s="299" t="n"/>
      <c r="U13" s="322" t="n"/>
      <c r="V13" s="299">
        <f>SUM(H13,S13,O13,L13)-T13</f>
        <v/>
      </c>
      <c r="W13" s="36" t="n"/>
      <c r="Y13" s="323" t="n">
        <v>1</v>
      </c>
    </row>
    <row r="14" hidden="1" s="260">
      <c r="B14" s="301" t="n">
        <v>1</v>
      </c>
      <c r="C14" s="40" t="inlineStr">
        <is>
          <t>B2601280022</t>
        </is>
      </c>
      <c r="D14" s="36" t="inlineStr">
        <is>
          <t>[해외출장] ESWA 셀 수율 안정화 지원</t>
        </is>
      </c>
      <c r="E14" s="40" t="inlineStr">
        <is>
          <t>제조DX솔루션</t>
        </is>
      </c>
      <c r="F14" s="40" t="inlineStr">
        <is>
          <t>박위대</t>
        </is>
      </c>
      <c r="G14" s="51" t="inlineStr">
        <is>
          <t>2/6 ~ 3/13</t>
        </is>
      </c>
      <c r="H14" s="299" t="n">
        <v>11500000</v>
      </c>
      <c r="I14" s="299" t="n">
        <v>1475000</v>
      </c>
      <c r="J14" s="299" t="n"/>
      <c r="K14" s="299" t="n">
        <v>100000</v>
      </c>
      <c r="L14" s="299">
        <f>SUM(I14:K14)</f>
        <v/>
      </c>
      <c r="M14" s="299" t="n"/>
      <c r="N14" s="299">
        <f>5625000+5500000</f>
        <v/>
      </c>
      <c r="O14" s="299">
        <f>SUM(M14:N14)</f>
        <v/>
      </c>
      <c r="P14" s="299" t="n"/>
      <c r="Q14" s="299" t="n">
        <v>150000</v>
      </c>
      <c r="R14" s="299" t="n">
        <v>225000</v>
      </c>
      <c r="S14" s="299">
        <f>SUM(P14:R14)</f>
        <v/>
      </c>
      <c r="T14" s="299" t="n"/>
      <c r="U14" s="322" t="n"/>
      <c r="V14" s="299">
        <f>SUM(H14,S14,O14,L14)-T14</f>
        <v/>
      </c>
      <c r="W14" s="36" t="n"/>
      <c r="Y14" s="323" t="n">
        <v>1</v>
      </c>
    </row>
    <row r="15" hidden="1" s="260">
      <c r="B15" s="301" t="n">
        <v>1</v>
      </c>
      <c r="C15" s="40" t="inlineStr">
        <is>
          <t>B2601280022</t>
        </is>
      </c>
      <c r="D15" s="36" t="inlineStr">
        <is>
          <t>[해외출장] ESWA 셀 수율 안정화 지원</t>
        </is>
      </c>
      <c r="E15" s="40" t="inlineStr">
        <is>
          <t>제조DX솔루션</t>
        </is>
      </c>
      <c r="F15" s="40" t="inlineStr">
        <is>
          <t>박태욱</t>
        </is>
      </c>
      <c r="G15" s="51" t="inlineStr">
        <is>
          <t>2/6 ~ 3/13</t>
        </is>
      </c>
      <c r="H15" s="299" t="n">
        <v>5500000</v>
      </c>
      <c r="I15" s="299" t="n">
        <v>1375000</v>
      </c>
      <c r="J15" s="299" t="n">
        <v>5500000</v>
      </c>
      <c r="K15" s="299" t="n">
        <v>100000</v>
      </c>
      <c r="L15" s="299">
        <f>SUM(I15:K15)</f>
        <v/>
      </c>
      <c r="M15" s="299" t="n"/>
      <c r="N15" s="299" t="n">
        <v>5625000</v>
      </c>
      <c r="O15" s="299">
        <f>SUM(M15:N15)</f>
        <v/>
      </c>
      <c r="P15" s="299" t="n"/>
      <c r="Q15" s="299" t="n">
        <v>150000</v>
      </c>
      <c r="R15" s="299" t="n">
        <v>125000</v>
      </c>
      <c r="S15" s="299">
        <f>SUM(P15:R15)</f>
        <v/>
      </c>
      <c r="T15" s="299" t="n"/>
      <c r="U15" s="322" t="n"/>
      <c r="V15" s="299">
        <f>SUM(H15,S15,O15,L15)-T15</f>
        <v/>
      </c>
      <c r="W15" s="36" t="n"/>
      <c r="Y15" s="323" t="n">
        <v>1</v>
      </c>
    </row>
    <row r="16" hidden="1" s="260">
      <c r="B16" s="301" t="n">
        <v>1</v>
      </c>
      <c r="C16" s="40" t="inlineStr">
        <is>
          <t>B2601280022</t>
        </is>
      </c>
      <c r="D16" s="36" t="inlineStr">
        <is>
          <t>[해외출장] ESWA 셀 수율 안정화 지원</t>
        </is>
      </c>
      <c r="E16" s="40" t="inlineStr">
        <is>
          <t>제조DX솔루션</t>
        </is>
      </c>
      <c r="F16" s="40" t="inlineStr">
        <is>
          <t>김종우</t>
        </is>
      </c>
      <c r="G16" s="51" t="inlineStr">
        <is>
          <t>2/6 ~ 3/13</t>
        </is>
      </c>
      <c r="H16" s="299" t="n">
        <v>5500000</v>
      </c>
      <c r="I16" s="299" t="n">
        <v>1375000</v>
      </c>
      <c r="J16" s="299" t="n">
        <v>0</v>
      </c>
      <c r="K16" s="299" t="n">
        <v>100000</v>
      </c>
      <c r="L16" s="299">
        <f>SUM(I16:K16)</f>
        <v/>
      </c>
      <c r="M16" s="299" t="n"/>
      <c r="N16" s="299" t="n">
        <v>5625000</v>
      </c>
      <c r="O16" s="299">
        <f>SUM(M16:N16)</f>
        <v/>
      </c>
      <c r="P16" s="299" t="n"/>
      <c r="Q16" s="299" t="n">
        <v>150000</v>
      </c>
      <c r="R16" s="299" t="n">
        <v>125000</v>
      </c>
      <c r="S16" s="299">
        <f>SUM(P16:R16)</f>
        <v/>
      </c>
      <c r="T16" s="299" t="n"/>
      <c r="U16" s="322" t="n"/>
      <c r="V16" s="299">
        <f>SUM(H16,S16,O16,L16)-T16</f>
        <v/>
      </c>
      <c r="W16" s="36" t="n"/>
      <c r="Y16" s="323" t="n">
        <v>1</v>
      </c>
    </row>
    <row r="17" hidden="1" s="260">
      <c r="B17" s="301" t="n">
        <v>1</v>
      </c>
      <c r="C17" s="40" t="inlineStr">
        <is>
          <t>B2601280022</t>
        </is>
      </c>
      <c r="D17" s="36" t="inlineStr">
        <is>
          <t>[해외출장] ESWA 셀 수율 안정화 지원</t>
        </is>
      </c>
      <c r="E17" s="40" t="inlineStr">
        <is>
          <t>제조DX솔루션</t>
        </is>
      </c>
      <c r="F17" s="40" t="inlineStr">
        <is>
          <t>이찬혁</t>
        </is>
      </c>
      <c r="G17" s="51" t="inlineStr">
        <is>
          <t>2/6 ~ 3/13</t>
        </is>
      </c>
      <c r="H17" s="299" t="n">
        <v>5500000</v>
      </c>
      <c r="I17" s="299" t="n">
        <v>1375000</v>
      </c>
      <c r="J17" s="299" t="n">
        <v>0</v>
      </c>
      <c r="K17" s="299" t="n">
        <v>100000</v>
      </c>
      <c r="L17" s="299">
        <f>SUM(I17:K17)</f>
        <v/>
      </c>
      <c r="M17" s="299" t="n"/>
      <c r="N17" s="299" t="n">
        <v>5625000</v>
      </c>
      <c r="O17" s="299">
        <f>SUM(M17:N17)</f>
        <v/>
      </c>
      <c r="P17" s="299" t="n"/>
      <c r="Q17" s="299" t="n">
        <v>150000</v>
      </c>
      <c r="R17" s="299" t="n">
        <v>125000</v>
      </c>
      <c r="S17" s="299">
        <f>SUM(P17:R17)</f>
        <v/>
      </c>
      <c r="T17" s="299" t="n"/>
      <c r="U17" s="322" t="n"/>
      <c r="V17" s="299">
        <f>SUM(H17,S17,O17,L17)-T17</f>
        <v/>
      </c>
      <c r="W17" s="36" t="n"/>
      <c r="Y17" s="323" t="n">
        <v>1</v>
      </c>
    </row>
    <row r="18" hidden="1" s="260">
      <c r="B18" s="301" t="n">
        <v>1</v>
      </c>
      <c r="C18" s="40" t="inlineStr">
        <is>
          <t>B2602110046</t>
        </is>
      </c>
      <c r="D18" s="36" t="inlineStr">
        <is>
          <t>[품의서] [해외출장/ESWA] ESWA E77A NND 공정 수율 개선을 위한 해외 출장의 건 (* 출장자 : 김시호 책임, 감미론 선임 / '26.02.25 ~ '26.03.20)</t>
        </is>
      </c>
      <c r="E18" s="40" t="inlineStr">
        <is>
          <t>FDC DX</t>
        </is>
      </c>
      <c r="F18" s="40" t="inlineStr">
        <is>
          <t>감미론</t>
        </is>
      </c>
      <c r="G18" s="40" t="inlineStr">
        <is>
          <t>26.2.25 ~ 26.3.20</t>
        </is>
      </c>
      <c r="H18" s="299" t="n">
        <v>3500000</v>
      </c>
      <c r="I18" s="299" t="n">
        <v>1650000</v>
      </c>
      <c r="J18" s="299" t="n">
        <v>3000000</v>
      </c>
      <c r="K18" s="299" t="n">
        <v>30000</v>
      </c>
      <c r="L18" s="299">
        <f>SUM(I18:K18)</f>
        <v/>
      </c>
      <c r="M18" s="299" t="n"/>
      <c r="N18" s="299" t="n">
        <v>3889094</v>
      </c>
      <c r="O18" s="299">
        <f>SUM(M18:N18)</f>
        <v/>
      </c>
      <c r="P18" s="299" t="n">
        <v>9000</v>
      </c>
      <c r="Q18" s="299" t="n">
        <v>79000</v>
      </c>
      <c r="R18" s="299" t="n"/>
      <c r="S18" s="299">
        <f>SUM(P18:R18)</f>
        <v/>
      </c>
      <c r="T18" s="299" t="n"/>
      <c r="U18" s="322" t="n"/>
      <c r="V18" s="299">
        <f>SUM(H18,S18,O18,L18)-T18</f>
        <v/>
      </c>
      <c r="W18" s="36" t="n"/>
      <c r="Y18" s="323" t="n">
        <v>1</v>
      </c>
    </row>
    <row r="19" hidden="1" s="260">
      <c r="B19" s="301" t="n">
        <v>1</v>
      </c>
      <c r="C19" s="40" t="inlineStr">
        <is>
          <t>B2602110046</t>
        </is>
      </c>
      <c r="D19" s="36" t="inlineStr">
        <is>
          <t>[품의서] [해외출장/ESWA] ESWA E77A NND 공정 수율 개선을 위한 해외 출장의 건 (* 출장자 : 김시호 책임, 감미론 선임 / '26.02.25 ~ '26.03.20)</t>
        </is>
      </c>
      <c r="E19" s="40" t="inlineStr">
        <is>
          <t>FDC DX</t>
        </is>
      </c>
      <c r="F19" s="40" t="inlineStr">
        <is>
          <t>김시호</t>
        </is>
      </c>
      <c r="G19" s="40" t="inlineStr">
        <is>
          <t>26.2.25 ~ 26.3.20</t>
        </is>
      </c>
      <c r="H19" s="299" t="n">
        <v>3500000</v>
      </c>
      <c r="I19" s="299" t="n">
        <v>1650000</v>
      </c>
      <c r="J19" s="299" t="n"/>
      <c r="K19" s="299" t="n">
        <v>30000</v>
      </c>
      <c r="L19" s="299">
        <f>SUM(I19:K19)</f>
        <v/>
      </c>
      <c r="M19" s="299" t="n"/>
      <c r="N19" s="299" t="n">
        <v>3889094</v>
      </c>
      <c r="O19" s="299">
        <f>SUM(M19:N19)</f>
        <v/>
      </c>
      <c r="P19" s="299" t="n">
        <v>9000</v>
      </c>
      <c r="Q19" s="299" t="n">
        <v>79000</v>
      </c>
      <c r="R19" s="299" t="n"/>
      <c r="S19" s="299">
        <f>SUM(P19:R19)</f>
        <v/>
      </c>
      <c r="T19" s="299" t="n"/>
      <c r="U19" s="322" t="n"/>
      <c r="V19" s="299">
        <f>SUM(H19,S19,O19,L19)-T19</f>
        <v/>
      </c>
      <c r="W19" s="36" t="n"/>
      <c r="Y19" s="323" t="n">
        <v>1</v>
      </c>
    </row>
    <row r="20" hidden="1" s="260">
      <c r="B20" s="301" t="n">
        <v>1</v>
      </c>
      <c r="C20" s="40" t="inlineStr">
        <is>
          <t>B2603040054</t>
        </is>
      </c>
      <c r="D20" s="36" t="inlineStr">
        <is>
          <t>[품의서] [해외출장/ESWA] ESWA 셀 수율 안정화 지원의 건, 3/13~4/16, 최이범책임, 조은지선임, 최재호선임</t>
        </is>
      </c>
      <c r="E20" s="40" t="inlineStr">
        <is>
          <t>제조DX솔루션</t>
        </is>
      </c>
      <c r="F20" s="40" t="inlineStr">
        <is>
          <t>최이범, 조은지, 최재호</t>
        </is>
      </c>
      <c r="G20" s="40" t="inlineStr">
        <is>
          <t>26.3.13~26.4.16</t>
        </is>
      </c>
      <c r="H20" s="299" t="n">
        <v>16500000</v>
      </c>
      <c r="I20" s="299" t="n">
        <v>7500000</v>
      </c>
      <c r="J20" s="299" t="n">
        <v>5500000</v>
      </c>
      <c r="K20" s="299" t="n">
        <v>500000</v>
      </c>
      <c r="L20" s="299">
        <f>SUM(I20:K20)</f>
        <v/>
      </c>
      <c r="M20" s="299" t="n"/>
      <c r="N20" s="299" t="n">
        <v>17000000</v>
      </c>
      <c r="O20" s="299">
        <f>SUM(M20:N20)</f>
        <v/>
      </c>
      <c r="P20" s="299" t="n"/>
      <c r="Q20" s="299" t="n">
        <v>500000</v>
      </c>
      <c r="R20" s="299" t="n">
        <v>500000</v>
      </c>
      <c r="S20" s="299">
        <f>SUM(P20:R20)</f>
        <v/>
      </c>
      <c r="T20" s="299" t="n"/>
      <c r="U20" s="322" t="n"/>
      <c r="V20" s="299">
        <f>SUM(H20,S20,O20,L20)-T20</f>
        <v/>
      </c>
      <c r="W20" s="36" t="n"/>
      <c r="Y20" s="323" t="n">
        <v>1</v>
      </c>
    </row>
    <row r="21" hidden="1" s="260">
      <c r="B21" s="301" t="n">
        <v>1</v>
      </c>
      <c r="C21" s="40" t="inlineStr">
        <is>
          <t xml:space="preserve">		B2603060048</t>
        </is>
      </c>
      <c r="D21" s="36" t="inlineStr">
        <is>
          <t xml:space="preserve">	ESWA LAMI 공정 자동보정 파라미터 실시간 최적화 &amp; 클러스터링 기반 재료교체 Y축 예측모델 적용</t>
        </is>
      </c>
      <c r="E21" s="40" t="inlineStr">
        <is>
          <t>자동보정</t>
        </is>
      </c>
      <c r="F21" s="40" t="inlineStr">
        <is>
          <t>최문석</t>
        </is>
      </c>
      <c r="G21" s="40" t="inlineStr">
        <is>
          <t>3/14~4/10</t>
        </is>
      </c>
      <c r="H21" s="299" t="n">
        <v>3700000</v>
      </c>
      <c r="I21" s="299" t="n">
        <v>3800000</v>
      </c>
      <c r="J21" s="299" t="n">
        <v>3300000</v>
      </c>
      <c r="K21" s="299" t="n">
        <v>50000</v>
      </c>
      <c r="L21" s="299">
        <f>SUM(I21:K21)</f>
        <v/>
      </c>
      <c r="M21" s="299" t="n">
        <v>0</v>
      </c>
      <c r="N21" s="299" t="n">
        <v>4400000</v>
      </c>
      <c r="O21" s="299">
        <f>SUM(M21:N21)</f>
        <v/>
      </c>
      <c r="P21" s="299" t="n">
        <v>0</v>
      </c>
      <c r="Q21" s="299" t="n">
        <v>100000</v>
      </c>
      <c r="R21" s="299" t="n">
        <v>0</v>
      </c>
      <c r="S21" s="299">
        <f>SUM(P21:R21)</f>
        <v/>
      </c>
      <c r="T21" s="299" t="n">
        <v>0</v>
      </c>
      <c r="U21" s="322" t="n"/>
      <c r="V21" s="299">
        <f>SUM(H21,S21,O21,L21)-T21</f>
        <v/>
      </c>
      <c r="W21" s="36" t="n"/>
      <c r="Y21" s="323" t="n">
        <v>1</v>
      </c>
    </row>
    <row r="22" hidden="1" s="260">
      <c r="B22" s="301" t="n">
        <v>1</v>
      </c>
      <c r="C22" s="40" t="inlineStr">
        <is>
          <t xml:space="preserve">		B2603060048</t>
        </is>
      </c>
      <c r="D22" s="36" t="inlineStr">
        <is>
          <t xml:space="preserve">	ESWA LAMI 공정 자동보정 파라미터 실시간 최적화 &amp; 클러스터링 기반 재료교체 Y축 예측모델 적용</t>
        </is>
      </c>
      <c r="E22" s="40" t="inlineStr">
        <is>
          <t>자동보정</t>
        </is>
      </c>
      <c r="F22" s="40" t="inlineStr">
        <is>
          <t>김태욱</t>
        </is>
      </c>
      <c r="G22" s="40" t="inlineStr">
        <is>
          <t>3/14~4/10</t>
        </is>
      </c>
      <c r="H22" s="299" t="n">
        <v>3700000</v>
      </c>
      <c r="I22" s="299" t="n">
        <v>3800000</v>
      </c>
      <c r="J22" s="299" t="n">
        <v>0</v>
      </c>
      <c r="K22" s="299" t="n">
        <v>50000</v>
      </c>
      <c r="L22" s="299">
        <f>SUM(I22:K22)</f>
        <v/>
      </c>
      <c r="M22" s="299" t="n">
        <v>0</v>
      </c>
      <c r="N22" s="299" t="n">
        <v>4400000</v>
      </c>
      <c r="O22" s="299">
        <f>SUM(M22:N22)</f>
        <v/>
      </c>
      <c r="P22" s="299" t="n">
        <v>0</v>
      </c>
      <c r="Q22" s="299" t="n">
        <v>100000</v>
      </c>
      <c r="R22" s="299" t="n">
        <v>0</v>
      </c>
      <c r="S22" s="299">
        <f>SUM(P22:R22)</f>
        <v/>
      </c>
      <c r="T22" s="299" t="n">
        <v>0</v>
      </c>
      <c r="U22" s="322" t="n"/>
      <c r="V22" s="299">
        <f>SUM(H22,S22,O22,L22)-T22</f>
        <v/>
      </c>
      <c r="W22" s="36" t="n"/>
      <c r="Y22" s="323" t="n">
        <v>1</v>
      </c>
    </row>
    <row r="23" hidden="1" s="260">
      <c r="B23" s="301" t="n">
        <v>1</v>
      </c>
      <c r="C23" s="40" t="inlineStr">
        <is>
          <t>B2603100041</t>
        </is>
      </c>
      <c r="D23" s="36" t="inlineStr">
        <is>
          <t>[해외출장/ESMI Lansing] ESMI Lansing 셀수율 안정화 지원(임성묵 선임, 26.03.27 ~ 05.01)</t>
        </is>
      </c>
      <c r="E23" s="40" t="inlineStr">
        <is>
          <t>제조DX솔루션</t>
        </is>
      </c>
      <c r="F23" s="40" t="inlineStr">
        <is>
          <t>임성묵</t>
        </is>
      </c>
      <c r="G23" s="40" t="inlineStr">
        <is>
          <t>3/27~5/1</t>
        </is>
      </c>
      <c r="H23" s="299" t="n">
        <v>7838100</v>
      </c>
      <c r="I23" s="299" t="n">
        <v>2948800</v>
      </c>
      <c r="J23" s="299" t="n"/>
      <c r="K23" s="299" t="n">
        <v>100000</v>
      </c>
      <c r="L23" s="299">
        <f>SUM(I23:K23)</f>
        <v/>
      </c>
      <c r="M23" s="299" t="n"/>
      <c r="N23" s="299" t="n">
        <v>5280809</v>
      </c>
      <c r="O23" s="299">
        <f>SUM(M23:N23)</f>
        <v/>
      </c>
      <c r="P23" s="299" t="n"/>
      <c r="Q23" s="299" t="n">
        <v>150000</v>
      </c>
      <c r="R23" s="299" t="n"/>
      <c r="S23" s="299">
        <f>SUM(P23:R23)</f>
        <v/>
      </c>
      <c r="T23" s="299" t="n"/>
      <c r="U23" s="322" t="n"/>
      <c r="V23" s="299">
        <f>SUM(H23,S23,O23,L23)-T23</f>
        <v/>
      </c>
      <c r="W23" s="36" t="n"/>
      <c r="Y23" s="323" t="n">
        <v>1</v>
      </c>
    </row>
    <row r="24" hidden="1" s="260">
      <c r="B24" s="301" t="n">
        <v>1</v>
      </c>
      <c r="C24" s="40" t="inlineStr">
        <is>
          <t>B2603160047</t>
        </is>
      </c>
      <c r="D24" s="36" t="inlineStr">
        <is>
          <t>[해외출장/ESMI Lansing] ESMI Lansing 셀수율 안정화 지원(강주예 사원, 26.03.27 ~ 05.01)</t>
        </is>
      </c>
      <c r="E24" s="40" t="inlineStr">
        <is>
          <t>제조DX솔루션</t>
        </is>
      </c>
      <c r="F24" s="40" t="inlineStr">
        <is>
          <t>강주예</t>
        </is>
      </c>
      <c r="G24" s="40" t="inlineStr">
        <is>
          <t>3/27~5/1</t>
        </is>
      </c>
      <c r="H24" s="299" t="n">
        <v>7838100</v>
      </c>
      <c r="I24" s="299" t="n">
        <v>2948800</v>
      </c>
      <c r="J24" s="299" t="n"/>
      <c r="K24" s="299" t="n">
        <v>100000</v>
      </c>
      <c r="L24" s="299">
        <f>SUM(I24:K24)</f>
        <v/>
      </c>
      <c r="M24" s="299" t="n"/>
      <c r="N24" s="299" t="n">
        <v>5280809</v>
      </c>
      <c r="O24" s="299">
        <f>SUM(M24:N24)</f>
        <v/>
      </c>
      <c r="P24" s="299" t="n"/>
      <c r="Q24" s="299" t="n">
        <v>150000</v>
      </c>
      <c r="R24" s="299" t="n"/>
      <c r="S24" s="299">
        <f>SUM(P24:R24)</f>
        <v/>
      </c>
      <c r="T24" s="299" t="n"/>
      <c r="U24" s="322" t="n"/>
      <c r="V24" s="299">
        <f>SUM(H24,S24,O24,L24)-T24</f>
        <v/>
      </c>
      <c r="W24" s="36" t="n"/>
      <c r="Y24" s="323" t="n">
        <v>1</v>
      </c>
    </row>
    <row r="25" hidden="1" s="260">
      <c r="B25" s="301" t="n">
        <v>1</v>
      </c>
      <c r="C25" s="40" t="inlineStr">
        <is>
          <t>B2603100032</t>
        </is>
      </c>
      <c r="D25" s="36" t="inlineStr">
        <is>
          <t>[해외출장/ESMI Lansing] ESMI Lansing 셀수율 안정화 지원(서준효 책임, 26.03.27 ~ 05.01)</t>
        </is>
      </c>
      <c r="E25" s="40" t="inlineStr">
        <is>
          <t>제조DX솔루션</t>
        </is>
      </c>
      <c r="F25" s="40" t="inlineStr">
        <is>
          <t>서준효</t>
        </is>
      </c>
      <c r="G25" s="40" t="inlineStr">
        <is>
          <t>3/27~5/1</t>
        </is>
      </c>
      <c r="H25" s="299" t="n">
        <v>7838100</v>
      </c>
      <c r="I25" s="299" t="n">
        <v>2948800</v>
      </c>
      <c r="J25" s="299" t="n">
        <v>3810000</v>
      </c>
      <c r="K25" s="299" t="n">
        <v>100000</v>
      </c>
      <c r="L25" s="299">
        <f>SUM(I25:K25)</f>
        <v/>
      </c>
      <c r="M25" s="299" t="n"/>
      <c r="N25" s="299" t="n">
        <v>5280809</v>
      </c>
      <c r="O25" s="299">
        <f>SUM(M25:N25)</f>
        <v/>
      </c>
      <c r="P25" s="299" t="n">
        <v>10000</v>
      </c>
      <c r="Q25" s="299" t="n">
        <v>150000</v>
      </c>
      <c r="R25" s="299" t="n">
        <v>200000</v>
      </c>
      <c r="S25" s="299">
        <f>SUM(P25:R25)</f>
        <v/>
      </c>
      <c r="T25" s="299" t="n"/>
      <c r="U25" s="322" t="n"/>
      <c r="V25" s="299">
        <f>SUM(H25,S25,O25,L25)-T25</f>
        <v/>
      </c>
      <c r="W25" s="36" t="inlineStr">
        <is>
          <t>준비금 : 국제면허증, 기타 : 유류비</t>
        </is>
      </c>
      <c r="Y25" s="323" t="n">
        <v>1</v>
      </c>
    </row>
    <row r="26" hidden="1" s="260">
      <c r="B26" s="301" t="n">
        <v>1</v>
      </c>
      <c r="C26" s="40" t="inlineStr">
        <is>
          <t>B2603180065</t>
        </is>
      </c>
      <c r="D26" s="36" t="inlineStr">
        <is>
          <t>[해외출장/ESMI Lansing] ESMI Lansing 셀수율 안정화 지원(유연택 담당, 26.03.27 ~ 04.24)</t>
        </is>
      </c>
      <c r="E26" s="40" t="inlineStr">
        <is>
          <t>제조DX솔루션</t>
        </is>
      </c>
      <c r="F26" s="40" t="inlineStr">
        <is>
          <t>유연택</t>
        </is>
      </c>
      <c r="G26" s="40" t="inlineStr">
        <is>
          <t>4/1~5/1</t>
        </is>
      </c>
      <c r="H26" s="299">
        <f>H25*(4/5)</f>
        <v/>
      </c>
      <c r="I26" s="299" t="n">
        <v>4000000</v>
      </c>
      <c r="J26" s="299" t="n"/>
      <c r="K26" s="299" t="n">
        <v>100000</v>
      </c>
      <c r="L26" s="299">
        <f>SUM(I26:K26)</f>
        <v/>
      </c>
      <c r="M26" s="299" t="n"/>
      <c r="N26" s="299">
        <f>N25*(4/5)</f>
        <v/>
      </c>
      <c r="O26" s="299">
        <f>SUM(M26:N26)</f>
        <v/>
      </c>
      <c r="P26" s="299" t="n"/>
      <c r="Q26" s="299" t="n">
        <v>150000</v>
      </c>
      <c r="R26" s="299" t="n"/>
      <c r="S26" s="299">
        <f>SUM(P26:R26)</f>
        <v/>
      </c>
      <c r="T26" s="299" t="n"/>
      <c r="U26" s="322" t="n"/>
      <c r="V26" s="299">
        <f>SUM(H26,S26,O26,L26)-T26</f>
        <v/>
      </c>
      <c r="W26" s="36" t="inlineStr">
        <is>
          <t>품의 상신 전</t>
        </is>
      </c>
      <c r="Y26" s="323" t="n">
        <v>1</v>
      </c>
    </row>
    <row r="27" hidden="1" s="260">
      <c r="B27" s="301" t="n">
        <v>2</v>
      </c>
      <c r="C27" s="40" t="inlineStr">
        <is>
          <t>B2604080008</t>
        </is>
      </c>
      <c r="D27" s="36" t="inlineStr">
        <is>
          <t>[품의서][해외출장] ESMI 법인 모듈/팩 공정 DX 과제 수행</t>
        </is>
      </c>
      <c r="E27" s="40" t="inlineStr">
        <is>
          <t>FDC DX</t>
        </is>
      </c>
      <c r="F27" s="40" t="inlineStr">
        <is>
          <t>박종찬</t>
        </is>
      </c>
      <c r="G27" s="40" t="inlineStr">
        <is>
          <t xml:space="preserve">2026-04-15 ~ 2026-05-15 </t>
        </is>
      </c>
      <c r="H27" s="299" t="n">
        <v>5797551</v>
      </c>
      <c r="I27" s="299" t="n">
        <v>3693500</v>
      </c>
      <c r="J27" s="299" t="n">
        <v>0</v>
      </c>
      <c r="K27" s="299" t="n">
        <v>0</v>
      </c>
      <c r="L27" s="299">
        <f>SUM(I27:K27)</f>
        <v/>
      </c>
      <c r="M27" s="299" t="n">
        <v>0</v>
      </c>
      <c r="N27" s="299" t="n">
        <v>4655919</v>
      </c>
      <c r="O27" s="299">
        <f>SUM(M27:N27)</f>
        <v/>
      </c>
      <c r="P27" s="299" t="n">
        <v>0</v>
      </c>
      <c r="Q27" s="299" t="n">
        <v>0</v>
      </c>
      <c r="R27" s="299" t="n">
        <v>0</v>
      </c>
      <c r="S27" s="299">
        <f>SUM(P27:R27)</f>
        <v/>
      </c>
      <c r="T27" s="299" t="n">
        <v>0</v>
      </c>
      <c r="U27" s="322" t="n">
        <v>0</v>
      </c>
      <c r="V27" s="299">
        <f>SUM(H27,S27,O27,L27)-T27</f>
        <v/>
      </c>
      <c r="W27" s="36" t="n"/>
      <c r="Y27" s="323" t="n">
        <v>1</v>
      </c>
    </row>
    <row r="28" hidden="1" s="260">
      <c r="B28" s="301" t="n">
        <v>2</v>
      </c>
      <c r="C28" s="40" t="inlineStr">
        <is>
          <t xml:space="preserve">	B2604080022</t>
        </is>
      </c>
      <c r="D28" s="36" t="inlineStr">
        <is>
          <t>[품의서] ESMI L&amp;S 수율 안정화 및 가동률 개선 지원</t>
        </is>
      </c>
      <c r="E28" s="40" t="inlineStr">
        <is>
          <t>FDC DX</t>
        </is>
      </c>
      <c r="F28" s="172" t="inlineStr">
        <is>
          <t>곽인철</t>
        </is>
      </c>
      <c r="G28" s="40" t="inlineStr">
        <is>
          <t>4/15~5/15</t>
        </is>
      </c>
      <c r="H28" s="299" t="n">
        <v>6000000</v>
      </c>
      <c r="I28" s="299" t="n">
        <v>4041300</v>
      </c>
      <c r="J28" s="299" t="inlineStr">
        <is>
          <t>-</t>
        </is>
      </c>
      <c r="K28" s="299" t="n">
        <v>50000</v>
      </c>
      <c r="L28" s="299">
        <f>SUM(I28:K28)</f>
        <v/>
      </c>
      <c r="M28" s="299" t="n"/>
      <c r="N28" s="299" t="n">
        <v>4654674</v>
      </c>
      <c r="O28" s="299">
        <f>SUM(M28:N28)</f>
        <v/>
      </c>
      <c r="P28" s="299" t="n"/>
      <c r="Q28" s="299" t="n">
        <v>100000</v>
      </c>
      <c r="R28" s="299" t="n"/>
      <c r="S28" s="299">
        <f>SUM(P28:R28)</f>
        <v/>
      </c>
      <c r="T28" s="299" t="n"/>
      <c r="U28" s="322" t="n"/>
      <c r="V28" s="299">
        <f>SUM(H28,S28,O28,L28)-T28</f>
        <v/>
      </c>
      <c r="W28" s="36" t="n"/>
      <c r="Y28" s="323" t="n">
        <v>1</v>
      </c>
    </row>
    <row r="29" hidden="1" s="260">
      <c r="B29" s="301" t="n">
        <v>2</v>
      </c>
      <c r="C29" s="40" t="inlineStr">
        <is>
          <t xml:space="preserve">	B2604080028</t>
        </is>
      </c>
      <c r="D29" s="36" t="inlineStr">
        <is>
          <t>ESMI 법인LNS공정 수율 개선 지원</t>
        </is>
      </c>
      <c r="E29" s="40" t="inlineStr">
        <is>
          <t>FDC DX</t>
        </is>
      </c>
      <c r="F29" s="172" t="inlineStr">
        <is>
          <t>김병찬 사원</t>
        </is>
      </c>
      <c r="G29" s="40" t="inlineStr">
        <is>
          <t>04.15 ~ 05.15</t>
        </is>
      </c>
      <c r="H29" s="299" t="n">
        <v>7000000</v>
      </c>
      <c r="I29" s="299" t="n">
        <v>4000000</v>
      </c>
      <c r="J29" s="299" t="n">
        <v>4000000</v>
      </c>
      <c r="K29" s="299" t="n">
        <v>200000</v>
      </c>
      <c r="L29" s="299">
        <f>SUM(I29:K29)</f>
        <v/>
      </c>
      <c r="M29" s="299" t="n"/>
      <c r="N29" s="299" t="n">
        <v>4700000</v>
      </c>
      <c r="O29" s="299">
        <f>SUM(M29:N29)</f>
        <v/>
      </c>
      <c r="P29" s="299" t="n"/>
      <c r="Q29" s="299" t="n">
        <v>200000</v>
      </c>
      <c r="R29" s="299" t="n">
        <v>300000</v>
      </c>
      <c r="S29" s="299">
        <f>SUM(P29:R29)</f>
        <v/>
      </c>
      <c r="T29" s="299" t="n"/>
      <c r="U29" s="322" t="n"/>
      <c r="V29" s="299">
        <f>SUM(H29,S29,O29,L29)-T29</f>
        <v/>
      </c>
      <c r="W29" s="36" t="n"/>
      <c r="Y29" s="323" t="n">
        <v>1</v>
      </c>
    </row>
    <row r="30" hidden="1" s="260">
      <c r="B30" s="301" t="n">
        <v>2</v>
      </c>
      <c r="C30" s="40" t="inlineStr">
        <is>
          <t>B2604090053</t>
        </is>
      </c>
      <c r="D30" s="134" t="inlineStr">
        <is>
          <t>[품의서] NJ Winder DX과제 전호기 확대 양산 검증 운영을 위한 출장 계획서</t>
        </is>
      </c>
      <c r="E30" s="40" t="inlineStr">
        <is>
          <t>FDC DX</t>
        </is>
      </c>
      <c r="F30" s="40" t="inlineStr">
        <is>
          <t>진민기</t>
        </is>
      </c>
      <c r="G30" s="40" t="inlineStr">
        <is>
          <t>26.04.16 ~ 26.04.29</t>
        </is>
      </c>
      <c r="H30" s="299">
        <f>100000*13</f>
        <v/>
      </c>
      <c r="I30" s="299" t="n">
        <v>829000</v>
      </c>
      <c r="J30" s="299" t="n">
        <v>0</v>
      </c>
      <c r="K30" s="299" t="n">
        <v>100000</v>
      </c>
      <c r="L30" s="299">
        <f>SUM(I30:K30)</f>
        <v/>
      </c>
      <c r="M30" s="299" t="n">
        <v>2137643</v>
      </c>
      <c r="N30" s="299" t="n"/>
      <c r="O30" s="299">
        <f>SUM(M30:N30)</f>
        <v/>
      </c>
      <c r="P30" s="299" t="n"/>
      <c r="Q30" s="299" t="n">
        <v>50000</v>
      </c>
      <c r="R30" s="299" t="n"/>
      <c r="S30" s="299">
        <f>SUM(P30:R30)</f>
        <v/>
      </c>
      <c r="T30" s="299" t="n"/>
      <c r="U30" s="322" t="n"/>
      <c r="V30" s="299">
        <f>SUM(H30,S30,O30,L30)-T30</f>
        <v/>
      </c>
      <c r="W30" s="36" t="n"/>
      <c r="Y30" s="323" t="n">
        <v>1</v>
      </c>
    </row>
    <row r="31" hidden="1" s="260">
      <c r="B31" s="301" t="n">
        <v>2</v>
      </c>
      <c r="C31" s="40" t="inlineStr">
        <is>
          <t>B2604090053</t>
        </is>
      </c>
      <c r="D31" s="134" t="inlineStr">
        <is>
          <t>[품의서] NJ Winder DX과제 전호기 확대 양산 검증 운영을 위한 출장 계획서</t>
        </is>
      </c>
      <c r="E31" s="40" t="inlineStr">
        <is>
          <t>FDC DX</t>
        </is>
      </c>
      <c r="F31" s="40" t="inlineStr">
        <is>
          <t>김재희</t>
        </is>
      </c>
      <c r="G31" s="40" t="inlineStr">
        <is>
          <t>26.04.16 ~ 26.04.29</t>
        </is>
      </c>
      <c r="H31" s="299">
        <f>100000*13</f>
        <v/>
      </c>
      <c r="I31" s="299" t="n">
        <v>829000</v>
      </c>
      <c r="J31" s="299" t="n">
        <v>0</v>
      </c>
      <c r="K31" s="299" t="n">
        <v>100000</v>
      </c>
      <c r="L31" s="299">
        <f>SUM(I31:K31)</f>
        <v/>
      </c>
      <c r="M31" s="299" t="n">
        <v>2137643</v>
      </c>
      <c r="N31" s="299" t="n"/>
      <c r="O31" s="299">
        <f>SUM(M31:N31)</f>
        <v/>
      </c>
      <c r="P31" s="299" t="n"/>
      <c r="Q31" s="299" t="n">
        <v>50000</v>
      </c>
      <c r="R31" s="299" t="n"/>
      <c r="S31" s="299">
        <f>SUM(P31:R31)</f>
        <v/>
      </c>
      <c r="T31" s="299" t="n"/>
      <c r="U31" s="322" t="n"/>
      <c r="V31" s="299">
        <f>SUM(H31,S31,O31,L31)-T31</f>
        <v/>
      </c>
      <c r="W31" s="36" t="n"/>
      <c r="Y31" s="323" t="n">
        <v>1</v>
      </c>
    </row>
    <row r="32" hidden="1" s="260">
      <c r="B32" s="301" t="n">
        <v>2</v>
      </c>
      <c r="C32" s="40" t="inlineStr">
        <is>
          <t>B2604090053</t>
        </is>
      </c>
      <c r="D32" s="134" t="inlineStr">
        <is>
          <t>[품의서] NJ Winder DX과제 전호기 확대 양산 검증 운영을 위한 출장 계획서</t>
        </is>
      </c>
      <c r="E32" s="40" t="inlineStr">
        <is>
          <t>FDC DX</t>
        </is>
      </c>
      <c r="F32" s="40" t="inlineStr">
        <is>
          <t>안진운</t>
        </is>
      </c>
      <c r="G32" s="40" t="inlineStr">
        <is>
          <t>26.04.23 ~ 26.04.29</t>
        </is>
      </c>
      <c r="H32" s="299">
        <f>100000*6</f>
        <v/>
      </c>
      <c r="I32" s="299" t="n">
        <v>829000</v>
      </c>
      <c r="J32" s="299" t="n">
        <v>0</v>
      </c>
      <c r="K32" s="299" t="n">
        <v>100000</v>
      </c>
      <c r="L32" s="299">
        <f>SUM(I32:K32)</f>
        <v/>
      </c>
      <c r="M32" s="299" t="n">
        <v>1068821.5</v>
      </c>
      <c r="N32" s="299" t="n"/>
      <c r="O32" s="299">
        <f>SUM(M32:N32)</f>
        <v/>
      </c>
      <c r="P32" s="299" t="n"/>
      <c r="Q32" s="299" t="n">
        <v>50000</v>
      </c>
      <c r="R32" s="299" t="n"/>
      <c r="S32" s="299">
        <f>SUM(P32:R32)</f>
        <v/>
      </c>
      <c r="T32" s="299" t="n"/>
      <c r="U32" s="322" t="n"/>
      <c r="V32" s="299" t="n">
        <v>2647822</v>
      </c>
      <c r="W32" s="36" t="n"/>
      <c r="Y32" s="323" t="n">
        <v>1</v>
      </c>
    </row>
    <row r="33" hidden="1" s="260">
      <c r="B33" s="301" t="n">
        <v>2</v>
      </c>
      <c r="C33" s="40" t="inlineStr">
        <is>
          <t>B2604090013</t>
        </is>
      </c>
      <c r="D33" s="36" t="inlineStr">
        <is>
          <t>ESMI L&amp;S 신규 자동보정 기술 5건 적용 및 전사 DX 과제 추진 가속화</t>
        </is>
      </c>
      <c r="E33" s="40" t="inlineStr">
        <is>
          <t>자동보정</t>
        </is>
      </c>
      <c r="F33" s="40" t="inlineStr">
        <is>
          <t>이제희</t>
        </is>
      </c>
      <c r="G33" s="40" t="inlineStr">
        <is>
          <t>26.04.22~26.05.29</t>
        </is>
      </c>
      <c r="H33" s="299" t="n">
        <v>6000000</v>
      </c>
      <c r="I33" s="299" t="n">
        <v>3542000</v>
      </c>
      <c r="J33" s="324" t="inlineStr">
        <is>
          <t>-</t>
        </is>
      </c>
      <c r="K33" s="299" t="n">
        <v>50000</v>
      </c>
      <c r="L33" s="299">
        <f>SUM(I33:K33)</f>
        <v/>
      </c>
      <c r="M33" s="324" t="inlineStr">
        <is>
          <t>-</t>
        </is>
      </c>
      <c r="N33" s="299" t="n">
        <v>4576224</v>
      </c>
      <c r="O33" s="299">
        <f>SUM(M33:N33)</f>
        <v/>
      </c>
      <c r="P33" s="324" t="inlineStr">
        <is>
          <t>-</t>
        </is>
      </c>
      <c r="Q33" s="299" t="n">
        <v>100000</v>
      </c>
      <c r="R33" s="324" t="inlineStr">
        <is>
          <t>-</t>
        </is>
      </c>
      <c r="S33" s="299">
        <f>SUM(P33:R33)</f>
        <v/>
      </c>
      <c r="T33" s="299" t="n">
        <v>10000000</v>
      </c>
      <c r="U33" s="322" t="inlineStr">
        <is>
          <t>ESMI</t>
        </is>
      </c>
      <c r="V33" s="299">
        <f>SUM(H33,S33,O33,L33)-T33</f>
        <v/>
      </c>
      <c r="W33" s="36" t="n"/>
      <c r="Y33" s="323" t="n">
        <v>1</v>
      </c>
    </row>
    <row r="34" hidden="1" s="260">
      <c r="B34" s="301" t="n">
        <v>2</v>
      </c>
      <c r="C34" s="40" t="inlineStr">
        <is>
          <t>B2604150062</t>
        </is>
      </c>
      <c r="D34" s="36" t="inlineStr">
        <is>
          <t>ESMI L&amp;S 신규 자동보정 기술 5건 적용 및 전사 DX 과제 추진 가속화</t>
        </is>
      </c>
      <c r="E34" s="40" t="inlineStr">
        <is>
          <t>자동보정</t>
        </is>
      </c>
      <c r="F34" s="40" t="inlineStr">
        <is>
          <t>이기홍</t>
        </is>
      </c>
      <c r="G34" s="40" t="inlineStr">
        <is>
          <t>26.04.22~26.05.29</t>
        </is>
      </c>
      <c r="H34" s="299" t="n">
        <v>6000000</v>
      </c>
      <c r="I34" s="299" t="n">
        <v>3542000</v>
      </c>
      <c r="J34" s="299" t="n">
        <v>4500000</v>
      </c>
      <c r="K34" s="299" t="n">
        <v>50000</v>
      </c>
      <c r="L34" s="299">
        <f>SUM(I34:K34)</f>
        <v/>
      </c>
      <c r="M34" s="324" t="inlineStr">
        <is>
          <t>-</t>
        </is>
      </c>
      <c r="N34" s="299" t="n">
        <v>4576224</v>
      </c>
      <c r="O34" s="299">
        <f>SUM(M34:N34)</f>
        <v/>
      </c>
      <c r="P34" s="324" t="inlineStr">
        <is>
          <t>-</t>
        </is>
      </c>
      <c r="Q34" s="299" t="n">
        <v>100000</v>
      </c>
      <c r="R34" s="324" t="inlineStr">
        <is>
          <t>-</t>
        </is>
      </c>
      <c r="S34" s="299">
        <f>SUM(P34:R34)</f>
        <v/>
      </c>
      <c r="T34" s="299" t="n">
        <v>10000000</v>
      </c>
      <c r="U34" s="322" t="inlineStr">
        <is>
          <t>ESMI</t>
        </is>
      </c>
      <c r="V34" s="299">
        <f>SUM(H34,S34,O34,L34)-T34</f>
        <v/>
      </c>
      <c r="W34" s="36" t="n"/>
      <c r="Y34" s="323" t="n">
        <v>1</v>
      </c>
    </row>
    <row r="35" hidden="1" s="260">
      <c r="B35" s="301" t="n">
        <v>2</v>
      </c>
      <c r="C35" s="40" t="inlineStr">
        <is>
          <t>B2604150057</t>
        </is>
      </c>
      <c r="D35" s="36" t="inlineStr">
        <is>
          <t>ESMI L&amp;S 신규 자동보정 기술 5건 적용 및 전사 DX 과제 추진 가속화</t>
        </is>
      </c>
      <c r="E35" s="40" t="inlineStr">
        <is>
          <t>자동보정</t>
        </is>
      </c>
      <c r="F35" s="40" t="inlineStr">
        <is>
          <t>김형원</t>
        </is>
      </c>
      <c r="G35" s="40" t="inlineStr">
        <is>
          <t>26.04.22~26.05.29</t>
        </is>
      </c>
      <c r="H35" s="299" t="n">
        <v>6000000</v>
      </c>
      <c r="I35" s="299" t="n">
        <v>3542000</v>
      </c>
      <c r="J35" s="324" t="inlineStr">
        <is>
          <t>-</t>
        </is>
      </c>
      <c r="K35" s="299" t="n">
        <v>50000</v>
      </c>
      <c r="L35" s="299">
        <f>SUM(I35:K35)</f>
        <v/>
      </c>
      <c r="M35" s="324" t="inlineStr">
        <is>
          <t>-</t>
        </is>
      </c>
      <c r="N35" s="299" t="n">
        <v>4576224</v>
      </c>
      <c r="O35" s="299">
        <f>SUM(M35:N35)</f>
        <v/>
      </c>
      <c r="P35" s="324" t="inlineStr">
        <is>
          <t>-</t>
        </is>
      </c>
      <c r="Q35" s="299" t="n">
        <v>100000</v>
      </c>
      <c r="R35" s="324" t="inlineStr">
        <is>
          <t>-</t>
        </is>
      </c>
      <c r="S35" s="299">
        <f>SUM(P35:R35)</f>
        <v/>
      </c>
      <c r="T35" s="299" t="n">
        <v>10000000</v>
      </c>
      <c r="U35" s="322" t="inlineStr">
        <is>
          <t>ESMI</t>
        </is>
      </c>
      <c r="V35" s="299">
        <f>SUM(H35,S35,O35,L35)-T35</f>
        <v/>
      </c>
      <c r="W35" s="36" t="n"/>
      <c r="Y35" s="323" t="n">
        <v>1</v>
      </c>
    </row>
    <row r="36" hidden="1" s="260">
      <c r="B36" s="301" t="n">
        <v>2</v>
      </c>
      <c r="C36" s="40" t="inlineStr">
        <is>
          <t>B2605080050</t>
        </is>
      </c>
      <c r="D36" s="36" t="inlineStr">
        <is>
          <t>[해외출장/중국 심천(CIBF)] 중국 국제 배터리 박람회 참석을 통한 제조 지능화 동향 파악 출장</t>
        </is>
      </c>
      <c r="E36" s="40" t="inlineStr">
        <is>
          <t>품질DX</t>
        </is>
      </c>
      <c r="F36" s="40" t="inlineStr">
        <is>
          <t>한성원</t>
        </is>
      </c>
      <c r="G36" s="40" t="inlineStr">
        <is>
          <t>2026/5/13~5/16</t>
        </is>
      </c>
      <c r="H36" s="299" t="n">
        <v>600000</v>
      </c>
      <c r="I36" s="299" t="n">
        <v>1073400</v>
      </c>
      <c r="J36" s="324" t="inlineStr">
        <is>
          <t>-</t>
        </is>
      </c>
      <c r="K36" s="299" t="n">
        <v>50000</v>
      </c>
      <c r="L36" s="299">
        <f>SUM(I36:K36)</f>
        <v/>
      </c>
      <c r="M36" s="299" t="n">
        <v>602280</v>
      </c>
      <c r="N36" s="299" t="n"/>
      <c r="O36" s="299">
        <f>SUM(M36:N36)</f>
        <v/>
      </c>
      <c r="P36" s="324" t="inlineStr">
        <is>
          <t>-</t>
        </is>
      </c>
      <c r="Q36" s="299" t="n">
        <v>70000</v>
      </c>
      <c r="R36" s="324" t="inlineStr">
        <is>
          <t>-</t>
        </is>
      </c>
      <c r="S36" s="299">
        <f>SUM(P36:R36)</f>
        <v/>
      </c>
      <c r="T36" s="299" t="n"/>
      <c r="U36" s="322" t="n"/>
      <c r="V36" s="299">
        <f>SUM(H36,S36,O36,L36)-T36</f>
        <v/>
      </c>
      <c r="W36" s="36" t="n"/>
      <c r="Y36" s="323" t="n">
        <v>1</v>
      </c>
    </row>
    <row r="37" hidden="1" s="260">
      <c r="B37" s="301" t="n">
        <v>2</v>
      </c>
      <c r="C37" s="40" t="inlineStr">
        <is>
          <t>B2605080050</t>
        </is>
      </c>
      <c r="D37" s="36" t="inlineStr">
        <is>
          <t>[해외출장/중국 심천(CIBF)] 중국 국제 배터리 박람회 참석을 통한 제조 지능화 동향 파악 출장</t>
        </is>
      </c>
      <c r="E37" s="40" t="inlineStr">
        <is>
          <t>품질DX</t>
        </is>
      </c>
      <c r="F37" s="40" t="inlineStr">
        <is>
          <t>김도원</t>
        </is>
      </c>
      <c r="G37" s="40" t="inlineStr">
        <is>
          <t>2026/5/13~5/16</t>
        </is>
      </c>
      <c r="H37" s="299" t="n">
        <v>600000</v>
      </c>
      <c r="I37" s="299" t="n">
        <v>1073400</v>
      </c>
      <c r="J37" s="324" t="inlineStr">
        <is>
          <t>-</t>
        </is>
      </c>
      <c r="K37" s="299" t="n">
        <v>50000</v>
      </c>
      <c r="L37" s="299">
        <f>SUM(I37:K37)</f>
        <v/>
      </c>
      <c r="M37" s="299" t="n">
        <v>602280</v>
      </c>
      <c r="N37" s="299" t="n"/>
      <c r="O37" s="299">
        <f>SUM(M37:N37)</f>
        <v/>
      </c>
      <c r="P37" s="324" t="inlineStr">
        <is>
          <t>-</t>
        </is>
      </c>
      <c r="Q37" s="299" t="n">
        <v>70000</v>
      </c>
      <c r="R37" s="324" t="inlineStr">
        <is>
          <t>-</t>
        </is>
      </c>
      <c r="S37" s="299">
        <f>SUM(P37:R37)</f>
        <v/>
      </c>
      <c r="T37" s="299" t="n"/>
      <c r="U37" s="322" t="n"/>
      <c r="V37" s="299">
        <f>SUM(H37,S37,O37,L37)-T37</f>
        <v/>
      </c>
      <c r="W37" s="36" t="n"/>
      <c r="Y37" s="323" t="n">
        <v>1</v>
      </c>
    </row>
    <row r="38" hidden="1" s="260">
      <c r="B38" s="301" t="n">
        <v>2</v>
      </c>
      <c r="C38" s="173" t="inlineStr">
        <is>
          <t>B2605270054</t>
        </is>
      </c>
      <c r="D38" s="175" t="inlineStr">
        <is>
          <t>[품의서] ESS Project 수행관련 북미 지역 ESVT 법인 주요 시스템 분석 및 PWS 사 IT 시스템 Pain points 점검을 위한 출장 件</t>
        </is>
      </c>
      <c r="E38" s="40" t="inlineStr">
        <is>
          <t>품질DX</t>
        </is>
      </c>
      <c r="F38" s="40" t="inlineStr">
        <is>
          <t>임국빈</t>
        </is>
      </c>
      <c r="G38" s="40" t="inlineStr">
        <is>
          <t>6/8~6/30</t>
        </is>
      </c>
      <c r="H38" s="299" t="n">
        <v>5420000</v>
      </c>
      <c r="I38" s="299" t="n">
        <v>4947400</v>
      </c>
      <c r="J38" s="299" t="n">
        <v>3000000</v>
      </c>
      <c r="K38" s="299" t="n">
        <v>80000</v>
      </c>
      <c r="L38" s="299">
        <f>SUM(I38:K38)</f>
        <v/>
      </c>
      <c r="M38" s="299" t="n"/>
      <c r="N38" s="299" t="n">
        <v>3577941</v>
      </c>
      <c r="O38" s="299">
        <f>SUM(M38:N38)</f>
        <v/>
      </c>
      <c r="P38" s="299" t="n">
        <v>9000</v>
      </c>
      <c r="Q38" s="299" t="n">
        <v>79000</v>
      </c>
      <c r="R38" s="299" t="n"/>
      <c r="S38" s="299">
        <f>SUM(P38:R38)</f>
        <v/>
      </c>
      <c r="T38" s="299" t="n"/>
      <c r="U38" s="322" t="n"/>
      <c r="V38" s="299">
        <f>SUM(H38,S38,O38,L38)-T38</f>
        <v/>
      </c>
      <c r="W38" s="36" t="n"/>
      <c r="Y38" s="323" t="n">
        <v>1</v>
      </c>
    </row>
    <row r="39" hidden="1" s="260">
      <c r="B39" s="301" t="n">
        <v>2</v>
      </c>
      <c r="C39" s="174" t="inlineStr">
        <is>
          <t>B2605260038</t>
        </is>
      </c>
      <c r="D39" s="175" t="inlineStr">
        <is>
          <t>[품의서] ESS Project 수행관련 북미 지역 ESVT 법인 주요 시스템 분석 및 PWS 사 IT 시스템 Pain points 점검을 위한 출장 件</t>
        </is>
      </c>
      <c r="E39" s="40" t="inlineStr">
        <is>
          <t>품질DX</t>
        </is>
      </c>
      <c r="F39" s="40" t="inlineStr">
        <is>
          <t>김홍진</t>
        </is>
      </c>
      <c r="G39" s="40" t="inlineStr">
        <is>
          <t>6/8~6/30</t>
        </is>
      </c>
      <c r="H39" s="299" t="n">
        <v>5420000</v>
      </c>
      <c r="I39" s="299" t="n">
        <v>4947400</v>
      </c>
      <c r="J39" s="299" t="n"/>
      <c r="K39" s="299" t="n">
        <v>80000</v>
      </c>
      <c r="L39" s="299">
        <f>SUM(I39:K39)</f>
        <v/>
      </c>
      <c r="M39" s="299" t="n"/>
      <c r="N39" s="176" t="n">
        <v>3590767</v>
      </c>
      <c r="O39" s="299">
        <f>SUM(M39:N39)</f>
        <v/>
      </c>
      <c r="P39" s="299" t="n">
        <v>9000</v>
      </c>
      <c r="Q39" s="299" t="n">
        <v>79000</v>
      </c>
      <c r="R39" s="299" t="n"/>
      <c r="S39" s="299">
        <f>SUM(P39:R39)</f>
        <v/>
      </c>
      <c r="T39" s="299" t="n"/>
      <c r="U39" s="322" t="n"/>
      <c r="V39" s="299">
        <f>SUM(H39,S39,O39,L39)-T39</f>
        <v/>
      </c>
      <c r="W39" s="36" t="n"/>
      <c r="Y39" s="323" t="n">
        <v>1</v>
      </c>
    </row>
    <row r="40" hidden="1" s="260">
      <c r="B40" s="301" t="n">
        <v>2</v>
      </c>
      <c r="C40" s="40" t="inlineStr">
        <is>
          <t>B2606080059</t>
        </is>
      </c>
      <c r="D40" s="36" t="inlineStr">
        <is>
          <t>NJ Winder FDC 내재화 지원을 위한 긴급 출장 요청 대응</t>
        </is>
      </c>
      <c r="E40" s="40" t="inlineStr">
        <is>
          <t>FDC DX</t>
        </is>
      </c>
      <c r="F40" s="40" t="inlineStr">
        <is>
          <t>진민기</t>
        </is>
      </c>
      <c r="G40" s="40" t="inlineStr">
        <is>
          <t>2026-06-11 ~ 2026-06-19</t>
        </is>
      </c>
      <c r="H40" s="299" t="n">
        <v>800000</v>
      </c>
      <c r="I40" s="299" t="n">
        <v>704100</v>
      </c>
      <c r="J40" s="299" t="n"/>
      <c r="K40" s="299" t="n">
        <v>60000</v>
      </c>
      <c r="L40" s="299">
        <f>SUM(I40:K40)</f>
        <v/>
      </c>
      <c r="M40" s="299" t="n">
        <v>1446181</v>
      </c>
      <c r="N40" s="299" t="n"/>
      <c r="O40" s="299">
        <f>SUM(M40:N40)</f>
        <v/>
      </c>
      <c r="P40" s="299" t="n"/>
      <c r="Q40" s="299" t="n">
        <v>50000</v>
      </c>
      <c r="R40" s="299" t="n"/>
      <c r="S40" s="299">
        <f>SUM(P40:R40)</f>
        <v/>
      </c>
      <c r="T40" s="299" t="n"/>
      <c r="U40" s="322" t="n"/>
      <c r="V40" s="299">
        <f>SUM(H40,S40,O40,L40)-T40</f>
        <v/>
      </c>
      <c r="W40" s="36" t="n"/>
      <c r="Y40" s="323" t="n">
        <v>1</v>
      </c>
    </row>
    <row r="41" hidden="1" s="260">
      <c r="B41" s="301" t="n">
        <v>2</v>
      </c>
      <c r="C41" s="40" t="inlineStr">
        <is>
          <t>B2606080059</t>
        </is>
      </c>
      <c r="D41" s="36" t="inlineStr">
        <is>
          <t>NJ Winder FDC 내재화 지원을 위한 긴급 출장 요청 대응</t>
        </is>
      </c>
      <c r="E41" s="40" t="inlineStr">
        <is>
          <t>FDC DX</t>
        </is>
      </c>
      <c r="F41" s="40" t="inlineStr">
        <is>
          <t>김재희</t>
        </is>
      </c>
      <c r="G41" s="40" t="inlineStr">
        <is>
          <t>2026-06-11 ~ 2026-06-19</t>
        </is>
      </c>
      <c r="H41" s="299" t="n">
        <v>800000</v>
      </c>
      <c r="I41" s="299" t="n">
        <v>704100</v>
      </c>
      <c r="J41" s="299" t="n"/>
      <c r="K41" s="299" t="n">
        <v>60000</v>
      </c>
      <c r="L41" s="299">
        <f>SUM(I41:K41)</f>
        <v/>
      </c>
      <c r="M41" s="299" t="n">
        <v>1446181</v>
      </c>
      <c r="N41" s="299" t="n"/>
      <c r="O41" s="299">
        <f>SUM(M41:N41)</f>
        <v/>
      </c>
      <c r="P41" s="299" t="n"/>
      <c r="Q41" s="299" t="n">
        <v>50000</v>
      </c>
      <c r="R41" s="299" t="n"/>
      <c r="S41" s="299">
        <f>SUM(P41:R41)</f>
        <v/>
      </c>
      <c r="T41" s="299" t="n"/>
      <c r="U41" s="322" t="n"/>
      <c r="V41" s="299">
        <f>SUM(H41,S41,O41,L41)-T41</f>
        <v/>
      </c>
      <c r="W41" s="36" t="n"/>
      <c r="Y41" s="323" t="n">
        <v>1</v>
      </c>
    </row>
    <row r="42" ht="33" customHeight="1" s="260">
      <c r="B42" s="301" t="n">
        <v>2</v>
      </c>
      <c r="C42" s="40" t="inlineStr">
        <is>
          <t>B2606120012</t>
        </is>
      </c>
      <c r="D42" s="134" t="inlineStr">
        <is>
          <t>ESWA 롤맵 신규 마킹프로그램 안정화 및 Lane별 NG마킹 배출 양산 적용을 위한 해외출장(26.06.17~07.16)</t>
        </is>
      </c>
      <c r="E42" s="40" t="inlineStr">
        <is>
          <t>품질DX</t>
        </is>
      </c>
      <c r="F42" s="40" t="inlineStr">
        <is>
          <t>박재기</t>
        </is>
      </c>
      <c r="G42" s="51" t="inlineStr">
        <is>
          <t>'26.6.17 ~ '26.7.16</t>
        </is>
      </c>
      <c r="H42" s="299" t="n">
        <v>4350000</v>
      </c>
      <c r="I42" s="299" t="n">
        <v>4500000</v>
      </c>
      <c r="J42" s="299" t="n"/>
      <c r="K42" s="299" t="n">
        <v>100000</v>
      </c>
      <c r="L42" s="299">
        <f>SUM(I42:K42)</f>
        <v/>
      </c>
      <c r="M42" s="299" t="n"/>
      <c r="N42" s="299" t="n">
        <v>4834077</v>
      </c>
      <c r="O42" s="299">
        <f>SUM(M42:N42)</f>
        <v/>
      </c>
      <c r="P42" s="299" t="n"/>
      <c r="Q42" s="299" t="n">
        <v>100000</v>
      </c>
      <c r="R42" s="299" t="n"/>
      <c r="S42" s="299">
        <f>SUM(P42:R42)</f>
        <v/>
      </c>
      <c r="T42" s="299" t="n"/>
      <c r="U42" s="322" t="n"/>
      <c r="V42" s="299">
        <f>SUM(H42,S42,O42,L42)-T42</f>
        <v/>
      </c>
      <c r="W42" s="36" t="n"/>
      <c r="Y42" s="323" t="n">
        <v>2</v>
      </c>
    </row>
    <row r="43" ht="33" customHeight="1" s="260">
      <c r="B43" s="301" t="n">
        <v>2</v>
      </c>
      <c r="C43" s="40" t="inlineStr">
        <is>
          <t>B2606120012</t>
        </is>
      </c>
      <c r="D43" s="134" t="inlineStr">
        <is>
          <t>ESWA 롤맵 신규 마킹프로그램 안정화 및 Lane별 NG마킹 배출 양산 적용을 위한 해외출장(26.06.17~07.16)</t>
        </is>
      </c>
      <c r="E43" s="40" t="inlineStr">
        <is>
          <t>품질DX</t>
        </is>
      </c>
      <c r="F43" s="40" t="inlineStr">
        <is>
          <t>박수완</t>
        </is>
      </c>
      <c r="G43" s="51" t="inlineStr">
        <is>
          <t>'26.6.17 ~ '26.7.16</t>
        </is>
      </c>
      <c r="H43" s="299" t="n">
        <v>4350000</v>
      </c>
      <c r="I43" s="299" t="n">
        <v>4500000</v>
      </c>
      <c r="J43" s="299" t="n">
        <v>6000000</v>
      </c>
      <c r="K43" s="299" t="n">
        <v>100000</v>
      </c>
      <c r="L43" s="299">
        <f>SUM(I43:K43)</f>
        <v/>
      </c>
      <c r="M43" s="299" t="n"/>
      <c r="N43" s="299" t="n">
        <v>4834077</v>
      </c>
      <c r="O43" s="299">
        <f>SUM(M43:N43)</f>
        <v/>
      </c>
      <c r="P43" s="299" t="n"/>
      <c r="Q43" s="299" t="n">
        <v>100000</v>
      </c>
      <c r="R43" s="299" t="n"/>
      <c r="S43" s="299">
        <f>SUM(P43:R43)</f>
        <v/>
      </c>
      <c r="T43" s="299" t="n"/>
      <c r="U43" s="322" t="n"/>
      <c r="V43" s="299">
        <f>SUM(H43,S43,O43,L43)-T43</f>
        <v/>
      </c>
      <c r="W43" s="36" t="n"/>
      <c r="Y43" s="323" t="n">
        <v>2</v>
      </c>
    </row>
    <row r="44">
      <c r="B44" s="301" t="n">
        <v>3</v>
      </c>
      <c r="C44" s="40" t="inlineStr">
        <is>
          <t>B2607080029</t>
        </is>
      </c>
      <c r="D44" s="36" t="inlineStr">
        <is>
          <t>[품의서] [해외출장/ESWA] 전극 공정 초크바 자동보정 적용을 위한 출장 신청의 건('26.07.14~'26.08.02, 나영준, 최창락)</t>
        </is>
      </c>
      <c r="E44" s="40" t="inlineStr">
        <is>
          <t>자동보정</t>
        </is>
      </c>
      <c r="F44" s="40" t="inlineStr">
        <is>
          <t>나영준</t>
        </is>
      </c>
      <c r="G44" s="51" t="inlineStr">
        <is>
          <t>26.07.14~'26.08.02</t>
        </is>
      </c>
      <c r="H44" s="299" t="n">
        <v>2500000</v>
      </c>
      <c r="I44" s="299" t="n">
        <v>2800000</v>
      </c>
      <c r="J44" s="299" t="n">
        <v>2700000</v>
      </c>
      <c r="K44" s="299" t="n">
        <v>150000</v>
      </c>
      <c r="L44" s="299">
        <f>SUM(I44:K44)</f>
        <v/>
      </c>
      <c r="M44" s="299" t="n"/>
      <c r="N44" s="299" t="n">
        <v>3338673</v>
      </c>
      <c r="O44" s="299">
        <f>SUM(M44:N44)</f>
        <v/>
      </c>
      <c r="P44" s="299" t="n">
        <v>50000</v>
      </c>
      <c r="Q44" s="299" t="n">
        <v>150000</v>
      </c>
      <c r="R44" s="299" t="n"/>
      <c r="S44" s="299">
        <f>SUM(P44:R44)</f>
        <v/>
      </c>
      <c r="T44" s="299" t="n">
        <v>0</v>
      </c>
      <c r="U44" s="322" t="n"/>
      <c r="V44" s="299">
        <f>SUM(H44,S44,O44,L44)-T44</f>
        <v/>
      </c>
      <c r="W44" s="36" t="inlineStr">
        <is>
          <t>렌트비는 유류비 포함하여 예상금액 산정</t>
        </is>
      </c>
      <c r="Y44" s="323" t="n">
        <v>2</v>
      </c>
    </row>
    <row r="45">
      <c r="B45" s="301" t="n">
        <v>3</v>
      </c>
      <c r="C45" s="40" t="inlineStr">
        <is>
          <t>B2607080029</t>
        </is>
      </c>
      <c r="D45" s="36" t="inlineStr">
        <is>
          <t>[품의서] [해외출장/ESWA] 전극 공정 초크바 자동보정 적용을 위한 출장 신청의 건('26.07.14~'26.08.02, 나영준, 최창락)</t>
        </is>
      </c>
      <c r="E45" s="40" t="inlineStr">
        <is>
          <t>자동보정</t>
        </is>
      </c>
      <c r="F45" s="40" t="inlineStr">
        <is>
          <t>최창락</t>
        </is>
      </c>
      <c r="G45" s="51" t="inlineStr">
        <is>
          <t>26.07.14~'26.08.02</t>
        </is>
      </c>
      <c r="H45" s="299" t="n">
        <v>2500000</v>
      </c>
      <c r="I45" s="299" t="n">
        <v>2800000</v>
      </c>
      <c r="J45" s="299" t="n"/>
      <c r="K45" s="299" t="n">
        <v>150000</v>
      </c>
      <c r="L45" s="299">
        <f>SUM(I45:K45)</f>
        <v/>
      </c>
      <c r="M45" s="299" t="n"/>
      <c r="N45" s="299" t="n">
        <v>3338673</v>
      </c>
      <c r="O45" s="299">
        <f>SUM(M45:N45)</f>
        <v/>
      </c>
      <c r="P45" s="299" t="n"/>
      <c r="Q45" s="299" t="n">
        <v>150000</v>
      </c>
      <c r="R45" s="299" t="n"/>
      <c r="S45" s="299">
        <f>SUM(P45:R45)</f>
        <v/>
      </c>
      <c r="T45" s="299" t="n">
        <v>0</v>
      </c>
      <c r="U45" s="322" t="n"/>
      <c r="V45" s="299">
        <f>SUM(H45,S45,O45,L45)-T45</f>
        <v/>
      </c>
      <c r="W45" s="36" t="n"/>
      <c r="Y45" s="323" t="n">
        <v>2</v>
      </c>
    </row>
    <row r="46">
      <c r="B46" s="301" t="n">
        <v>3</v>
      </c>
      <c r="C46" s="40" t="inlineStr">
        <is>
          <t>B2607130034</t>
        </is>
      </c>
      <c r="D46" s="41" t="inlineStr">
        <is>
          <t>금형 노칭 E77A 생산량/NG마킹 개선 출장의 건</t>
        </is>
      </c>
      <c r="E46" s="40" t="inlineStr">
        <is>
          <t>FDC DX</t>
        </is>
      </c>
      <c r="F46" s="40" t="inlineStr">
        <is>
          <t>김시호, 최이수</t>
        </is>
      </c>
      <c r="G46" s="40" t="inlineStr">
        <is>
          <t>7/17 ~ 8/15</t>
        </is>
      </c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40" t="n"/>
      <c r="V46" s="299" t="n">
        <v>16040000</v>
      </c>
      <c r="W46" s="36" t="n"/>
      <c r="Y46" s="323" t="n">
        <v>2</v>
      </c>
    </row>
    <row r="47">
      <c r="B47" s="301" t="n">
        <v>3</v>
      </c>
      <c r="C47" s="40" t="inlineStr">
        <is>
          <t>B2607130018</t>
        </is>
      </c>
      <c r="D47" s="36" t="inlineStr">
        <is>
          <t>ESHM IVS Basic 개소 적용을 위한 사용자 교육 및 대표호기 Test 대응</t>
        </is>
      </c>
      <c r="E47" s="40" t="inlineStr">
        <is>
          <t>품질DX</t>
        </is>
      </c>
      <c r="F47" s="40" t="inlineStr">
        <is>
          <t>이유경</t>
        </is>
      </c>
      <c r="G47" s="40" t="inlineStr">
        <is>
          <t>2026-08-09 ~ 2026-08-15</t>
        </is>
      </c>
      <c r="H47" s="299" t="n">
        <v>600000</v>
      </c>
      <c r="I47" s="299" t="n">
        <v>2500000</v>
      </c>
      <c r="J47" s="299" t="n"/>
      <c r="K47" s="299" t="n">
        <v>100000</v>
      </c>
      <c r="L47" s="299">
        <f>SUM(I47:K47)</f>
        <v/>
      </c>
      <c r="M47" s="299">
        <f>150000*7</f>
        <v/>
      </c>
      <c r="N47" s="299" t="n"/>
      <c r="O47" s="299">
        <f>SUM(M47:N47)</f>
        <v/>
      </c>
      <c r="P47" s="299" t="n">
        <v>700000</v>
      </c>
      <c r="Q47" s="299" t="n">
        <v>100000</v>
      </c>
      <c r="R47" s="299" t="n"/>
      <c r="S47" s="299">
        <f>SUM(P47:R47)</f>
        <v/>
      </c>
      <c r="T47" s="299" t="n"/>
      <c r="U47" s="322" t="n"/>
      <c r="V47" s="299">
        <f>SUM(H47,S47,O47,L47)-T47</f>
        <v/>
      </c>
      <c r="W47" s="36" t="n"/>
      <c r="Y47" s="323" t="n">
        <v>2</v>
      </c>
    </row>
  </sheetData>
  <autoFilter ref="B4:AG47">
    <filterColumn colId="23" hiddenButton="0" showButton="1">
      <filters>
        <filter val="처리 예정"/>
      </filters>
    </filterColumn>
  </autoFilter>
  <mergeCells count="15">
    <mergeCell ref="H2:V2"/>
    <mergeCell ref="I3:L3"/>
    <mergeCell ref="C2:C4"/>
    <mergeCell ref="P3:S3"/>
    <mergeCell ref="M3:O3"/>
    <mergeCell ref="H3:H4"/>
    <mergeCell ref="Y2:Y4"/>
    <mergeCell ref="W2:W4"/>
    <mergeCell ref="V3:V4"/>
    <mergeCell ref="G2:G4"/>
    <mergeCell ref="F2:F4"/>
    <mergeCell ref="B2:B4"/>
    <mergeCell ref="T3:U3"/>
    <mergeCell ref="D2:D4"/>
    <mergeCell ref="E2:E4"/>
  </mergeCells>
  <conditionalFormatting sqref="F5:F6">
    <cfRule type="duplicateValues" priority="21" dxfId="4"/>
  </conditionalFormatting>
  <conditionalFormatting sqref="F7:F9">
    <cfRule type="duplicateValues" priority="20" dxfId="4"/>
  </conditionalFormatting>
  <conditionalFormatting sqref="F10:F11">
    <cfRule type="duplicateValues" priority="17" dxfId="4"/>
  </conditionalFormatting>
  <conditionalFormatting sqref="F12:F13">
    <cfRule type="duplicateValues" priority="14" dxfId="4"/>
  </conditionalFormatting>
  <conditionalFormatting sqref="F14:F17">
    <cfRule type="duplicateValues" priority="8" dxfId="4"/>
  </conditionalFormatting>
  <conditionalFormatting sqref="F18:F19">
    <cfRule type="duplicateValues" priority="5" dxfId="4"/>
  </conditionalFormatting>
  <conditionalFormatting sqref="F20">
    <cfRule type="duplicateValues" priority="4" dxfId="4"/>
  </conditionalFormatting>
  <conditionalFormatting sqref="F21:F22">
    <cfRule type="duplicateValues" priority="3" dxfId="4"/>
  </conditionalFormatting>
  <conditionalFormatting sqref="F23:F1048576">
    <cfRule type="duplicateValues" priority="251" dxfId="4"/>
  </conditionalFormatting>
  <conditionalFormatting sqref="Y1:Y1048576">
    <cfRule type="cellIs" priority="1" operator="equal" dxfId="0">
      <formula>2</formula>
    </cfRule>
    <cfRule type="cellIs" priority="2" operator="equal" dxfId="1">
      <formula>1</formula>
    </cfRule>
  </conditionalFormatting>
  <dataValidations count="2">
    <dataValidation sqref="E5:E1048576" showDropDown="0" showInputMessage="1" showErrorMessage="1" allowBlank="1" type="list">
      <formula1>부문</formula1>
    </dataValidation>
    <dataValidation sqref="B5:B1048576" showDropDown="0" showInputMessage="1" showErrorMessage="1" allowBlank="1" type="list">
      <formula1>"1,2,3,4"</formula1>
    </dataValidation>
  </dataValidations>
  <pageMargins left="0.7" right="0.7" top="0.75" bottom="0.75" header="0.3" footer="0.3"/>
  <pageSetup orientation="portrait" paperSize="9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56"/>
  <sheetViews>
    <sheetView tabSelected="1" topLeftCell="B1" zoomScale="85" zoomScaleNormal="85" workbookViewId="0">
      <pane ySplit="13" topLeftCell="A14" activePane="bottomLeft" state="frozen"/>
      <selection activeCell="V42" sqref="V42:V43"/>
      <selection pane="bottomLeft" activeCell="D68" sqref="D68"/>
    </sheetView>
  </sheetViews>
  <sheetFormatPr baseColWidth="8" defaultColWidth="9" defaultRowHeight="14.25"/>
  <cols>
    <col width="16.75" bestFit="1" customWidth="1" style="325" min="1" max="1"/>
    <col width="12.875" customWidth="1" style="325" min="2" max="2"/>
    <col width="20.625" bestFit="1" customWidth="1" style="325" min="3" max="3"/>
    <col width="76.125" customWidth="1" style="326" min="4" max="4"/>
    <col width="16.25" customWidth="1" style="327" min="5" max="5"/>
    <col width="12.5" customWidth="1" style="325" min="6" max="7"/>
    <col width="9.75" customWidth="1" style="325" min="8" max="9"/>
    <col width="10.125" customWidth="1" style="325" min="10" max="10"/>
    <col width="13.375" customWidth="1" style="325" min="11" max="11"/>
    <col width="12.5" customWidth="1" style="122" min="12" max="12"/>
    <col width="9" customWidth="1" style="325" min="13" max="13"/>
    <col width="16.875" customWidth="1" style="325" min="14" max="14"/>
    <col width="16.875" bestFit="1" customWidth="1" style="325" min="15" max="15"/>
    <col width="14.5" customWidth="1" style="325" min="16" max="16"/>
    <col width="16.375" customWidth="1" style="325" min="17" max="17"/>
    <col width="16.875" customWidth="1" style="325" min="18" max="18"/>
    <col width="16.375" customWidth="1" style="325" min="19" max="19"/>
    <col width="16.75" customWidth="1" style="325" min="20" max="20"/>
    <col width="1.375" customWidth="1" style="326" min="21" max="21"/>
    <col width="17" customWidth="1" style="325" min="22" max="22"/>
    <col width="2.75" customWidth="1" style="325" min="23" max="23"/>
    <col width="16.625" customWidth="1" style="325" min="24" max="24"/>
    <col width="2.375" customWidth="1" style="325" min="25" max="25"/>
    <col width="10.25" customWidth="1" style="325" min="26" max="26"/>
    <col width="1.125" customWidth="1" style="325" min="27" max="27"/>
    <col width="18.75" customWidth="1" style="325" min="28" max="28"/>
    <col width="53" customWidth="1" style="325" min="29" max="29"/>
    <col width="9" customWidth="1" style="325" min="30" max="30"/>
    <col width="9" customWidth="1" style="325" min="31" max="16384"/>
  </cols>
  <sheetData>
    <row r="1">
      <c r="E1" s="325" t="n"/>
      <c r="H1" s="3" t="n"/>
      <c r="I1" s="3" t="n"/>
    </row>
    <row r="2" ht="15" customHeight="1" s="260">
      <c r="B2" s="328" t="inlineStr">
        <is>
          <t>■ `26년 해외출장 계획</t>
        </is>
      </c>
      <c r="E2" s="325" t="n"/>
      <c r="H2" s="3" t="n"/>
      <c r="I2" s="3" t="n"/>
      <c r="M2" s="203" t="inlineStr">
        <is>
          <t>부문</t>
        </is>
      </c>
      <c r="N2" s="329" t="inlineStr">
        <is>
          <t>26년</t>
        </is>
      </c>
      <c r="O2" s="266" t="n"/>
      <c r="P2" s="266" t="n"/>
      <c r="Q2" s="266" t="n"/>
      <c r="R2" s="266" t="n"/>
      <c r="S2" s="266" t="n"/>
      <c r="T2" s="267" t="n"/>
    </row>
    <row r="3" ht="12.75" customHeight="1" s="260">
      <c r="B3" s="328" t="n"/>
      <c r="E3" s="325" t="n"/>
      <c r="H3" s="3" t="n"/>
      <c r="I3" s="3" t="n"/>
      <c r="M3" s="330" t="n"/>
      <c r="N3" s="207" t="inlineStr">
        <is>
          <t>예산</t>
        </is>
      </c>
      <c r="O3" s="209" t="inlineStr">
        <is>
          <t>사용</t>
        </is>
      </c>
      <c r="P3" s="209" t="inlineStr">
        <is>
          <t>계획(사용 예정)</t>
        </is>
      </c>
      <c r="Q3" s="266" t="n"/>
      <c r="R3" s="267" t="n"/>
      <c r="S3" s="209" t="inlineStr">
        <is>
          <t>잔여</t>
        </is>
      </c>
      <c r="T3" s="267" t="n"/>
    </row>
    <row r="4" ht="15.75" customHeight="1" s="260" thickBot="1">
      <c r="B4" s="328" t="n"/>
      <c r="E4" s="325" t="n"/>
      <c r="H4" s="3" t="n"/>
      <c r="I4" s="3" t="n"/>
      <c r="M4" s="331" t="n"/>
      <c r="N4" s="269" t="n"/>
      <c r="O4" s="270" t="n"/>
      <c r="P4" s="210" t="inlineStr">
        <is>
          <t>품의 후</t>
        </is>
      </c>
      <c r="Q4" s="210" t="inlineStr">
        <is>
          <t>품의 전</t>
        </is>
      </c>
      <c r="R4" s="210" t="inlineStr">
        <is>
          <t>소계</t>
        </is>
      </c>
      <c r="S4" s="210" t="inlineStr">
        <is>
          <t>사용 대비</t>
        </is>
      </c>
      <c r="T4" s="210" t="inlineStr">
        <is>
          <t>계획 포함</t>
        </is>
      </c>
    </row>
    <row r="5" ht="18" customHeight="1" s="260">
      <c r="B5" s="328" t="n"/>
      <c r="E5" s="325" t="n"/>
      <c r="H5" s="3" t="n"/>
      <c r="I5" s="3" t="n"/>
      <c r="M5" s="106" t="inlineStr">
        <is>
          <t>제조DX솔루션</t>
        </is>
      </c>
      <c r="N5" s="332">
        <f>예산!G3</f>
        <v/>
      </c>
      <c r="O5" s="333">
        <f>'(신규) Summary'!D7+'(신규) Summary'!L7+'(신규) Summary'!T7+'(신규) Summary'!AB7</f>
        <v/>
      </c>
      <c r="P5" s="334">
        <f>'(신규) Summary'!E7+'(신규) Summary'!M7+'(신규) Summary'!U7+'(신규) Summary'!AC7</f>
        <v/>
      </c>
      <c r="Q5" s="334">
        <f>'(신규) Summary'!F7+'(신규) Summary'!N7+'(신규) Summary'!V7+'(신규) Summary'!AD7</f>
        <v/>
      </c>
      <c r="R5" s="335">
        <f>SUM(P5:Q5)</f>
        <v/>
      </c>
      <c r="S5" s="335">
        <f>N5-O5</f>
        <v/>
      </c>
      <c r="T5" s="335">
        <f>N5-O5-R5</f>
        <v/>
      </c>
      <c r="V5" s="325">
        <f>N5-O5-P5</f>
        <v/>
      </c>
    </row>
    <row r="6" ht="18" customHeight="1" s="260">
      <c r="B6" s="328" t="n"/>
      <c r="E6" s="325" t="n"/>
      <c r="H6" s="3" t="n"/>
      <c r="I6" s="3" t="n"/>
      <c r="M6" s="107" t="inlineStr">
        <is>
          <t>자동보정</t>
        </is>
      </c>
      <c r="N6" s="336">
        <f>예산!G4</f>
        <v/>
      </c>
      <c r="O6" s="337">
        <f>'(신규) Summary'!D8+'(신규) Summary'!L8+'(신규) Summary'!T8+'(신규) Summary'!AB8</f>
        <v/>
      </c>
      <c r="P6" s="338">
        <f>'(신규) Summary'!E8+'(신규) Summary'!M8+'(신규) Summary'!U8+'(신규) Summary'!AC8</f>
        <v/>
      </c>
      <c r="Q6" s="338">
        <f>'(신규) Summary'!F8+'(신규) Summary'!N8+'(신규) Summary'!V8+'(신규) Summary'!AD8</f>
        <v/>
      </c>
      <c r="R6" s="337">
        <f>SUM(P6:Q6)</f>
        <v/>
      </c>
      <c r="S6" s="337">
        <f>N6-O6</f>
        <v/>
      </c>
      <c r="T6" s="337">
        <f>N6-O6-R6</f>
        <v/>
      </c>
    </row>
    <row r="7" ht="18" customHeight="1" s="260">
      <c r="B7" s="328" t="n"/>
      <c r="E7" s="325" t="n"/>
      <c r="H7" s="3" t="n"/>
      <c r="I7" s="3" t="n"/>
      <c r="M7" s="107" t="inlineStr">
        <is>
          <t>FDC DX</t>
        </is>
      </c>
      <c r="N7" s="336">
        <f>예산!G5</f>
        <v/>
      </c>
      <c r="O7" s="337">
        <f>'(신규) Summary'!D9+'(신규) Summary'!L9+'(신규) Summary'!T9+'(신규) Summary'!AB9</f>
        <v/>
      </c>
      <c r="P7" s="338">
        <f>'(신규) Summary'!E9+'(신규) Summary'!M9+'(신규) Summary'!U9+'(신규) Summary'!AC9</f>
        <v/>
      </c>
      <c r="Q7" s="338">
        <f>'(신규) Summary'!F9+'(신규) Summary'!N9+'(신규) Summary'!V9+'(신규) Summary'!AD9</f>
        <v/>
      </c>
      <c r="R7" s="337">
        <f>SUM(P7:Q7)</f>
        <v/>
      </c>
      <c r="S7" s="337">
        <f>N7-O7</f>
        <v/>
      </c>
      <c r="T7" s="337">
        <f>N7-O7-R7</f>
        <v/>
      </c>
    </row>
    <row r="8" ht="18.75" customHeight="1" s="260" thickBot="1">
      <c r="B8" s="328" t="n"/>
      <c r="E8" s="325" t="n"/>
      <c r="H8" s="3" t="n"/>
      <c r="I8" s="3" t="n"/>
      <c r="M8" s="108" t="inlineStr">
        <is>
          <t>품질DX</t>
        </is>
      </c>
      <c r="N8" s="339">
        <f>예산!G6</f>
        <v/>
      </c>
      <c r="O8" s="340">
        <f>'(신규) Summary'!D10+'(신규) Summary'!L10+'(신규) Summary'!T10+'(신규) Summary'!AB10</f>
        <v/>
      </c>
      <c r="P8" s="341">
        <f>'(신규) Summary'!E10+'(신규) Summary'!M10+'(신규) Summary'!U10+'(신규) Summary'!AC10</f>
        <v/>
      </c>
      <c r="Q8" s="341">
        <f>'(신규) Summary'!F10+'(신규) Summary'!N10+'(신규) Summary'!V10+'(신규) Summary'!AD10</f>
        <v/>
      </c>
      <c r="R8" s="340">
        <f>SUM(P8:Q8)</f>
        <v/>
      </c>
      <c r="S8" s="340">
        <f>N8-O8</f>
        <v/>
      </c>
      <c r="T8" s="340">
        <f>N8-O8-R8</f>
        <v/>
      </c>
    </row>
    <row r="9" ht="18" customHeight="1" s="260">
      <c r="B9" s="328" t="n"/>
      <c r="E9" s="325" t="n"/>
      <c r="H9" s="3" t="n"/>
      <c r="I9" s="3" t="n"/>
      <c r="M9" s="142" t="inlineStr">
        <is>
          <t>제조DX그룹</t>
        </is>
      </c>
      <c r="N9" s="342">
        <f>SUM(N5:N8)</f>
        <v/>
      </c>
      <c r="O9" s="343">
        <f>SUM(O5:O8)</f>
        <v/>
      </c>
      <c r="P9" s="344">
        <f>SUM(P5:P8)</f>
        <v/>
      </c>
      <c r="Q9" s="345">
        <f>SUM(Q5:Q8)</f>
        <v/>
      </c>
      <c r="R9" s="346">
        <f>SUM(R5:R8)</f>
        <v/>
      </c>
      <c r="S9" s="347">
        <f>SUM(S5:S8)</f>
        <v/>
      </c>
      <c r="T9" s="348">
        <f>SUM(T5:T8)</f>
        <v/>
      </c>
    </row>
    <row r="10" ht="18" customHeight="1" s="260">
      <c r="D10" s="326" t="inlineStr">
        <is>
          <t xml:space="preserve"> </t>
        </is>
      </c>
      <c r="E10" s="325" t="n"/>
      <c r="Z10" s="349" t="n"/>
    </row>
    <row r="11" ht="18" customHeight="1" s="260">
      <c r="B11" s="350" t="n"/>
      <c r="C11" s="351" t="n"/>
      <c r="D11" s="352" t="n"/>
      <c r="E11" s="353" t="inlineStr">
        <is>
          <t>↓ 숫자만 입력</t>
        </is>
      </c>
      <c r="F11" s="350" t="n"/>
      <c r="G11" s="350" t="n"/>
      <c r="H11" s="350" t="n"/>
      <c r="I11" s="350" t="n"/>
      <c r="J11" s="351" t="n"/>
      <c r="K11" s="351" t="n"/>
      <c r="L11" s="123" t="n"/>
      <c r="M11" s="351" t="n"/>
      <c r="N11" s="354" t="inlineStr">
        <is>
          <t>입력x</t>
        </is>
      </c>
      <c r="O11" s="355" t="n"/>
      <c r="P11" s="355" t="n"/>
      <c r="Q11" s="355" t="n"/>
      <c r="R11" s="355" t="n"/>
      <c r="S11" s="355" t="n"/>
      <c r="T11" s="355" t="n"/>
      <c r="X11" s="325">
        <f>SUBTOTAL(9,X14:X117)</f>
        <v/>
      </c>
      <c r="Z11" s="349" t="n"/>
    </row>
    <row r="12" ht="15.75" customHeight="1" s="260">
      <c r="B12" s="356" t="inlineStr">
        <is>
          <t>소속</t>
        </is>
      </c>
      <c r="C12" s="267" t="n"/>
      <c r="D12" s="356" t="inlineStr">
        <is>
          <t>출장 목적</t>
        </is>
      </c>
      <c r="E12" s="357" t="inlineStr">
        <is>
          <t>분기</t>
        </is>
      </c>
      <c r="F12" s="358" t="inlineStr">
        <is>
          <t>출장 일정</t>
        </is>
      </c>
      <c r="G12" s="266" t="n"/>
      <c r="H12" s="266" t="n"/>
      <c r="I12" s="267" t="n"/>
      <c r="J12" s="356" t="inlineStr">
        <is>
          <t>출장 국가</t>
        </is>
      </c>
      <c r="K12" s="359" t="inlineStr">
        <is>
          <t>숙식 제공
(Y/N)</t>
        </is>
      </c>
      <c r="L12" s="193" t="inlineStr">
        <is>
          <t>출장 인원</t>
        </is>
      </c>
      <c r="M12" s="360" t="inlineStr">
        <is>
          <t>임원 여부</t>
        </is>
      </c>
      <c r="N12" s="361" t="inlineStr">
        <is>
          <t>단가</t>
        </is>
      </c>
      <c r="O12" s="266" t="n"/>
      <c r="P12" s="266" t="n"/>
      <c r="Q12" s="362" t="inlineStr">
        <is>
          <t xml:space="preserve">예상 비용 </t>
        </is>
      </c>
      <c r="R12" s="266" t="n"/>
      <c r="S12" s="267" t="n"/>
      <c r="T12" s="363" t="inlineStr">
        <is>
          <t>합계</t>
        </is>
      </c>
      <c r="V12" s="359" t="inlineStr">
        <is>
          <t>법인
비용 지원</t>
        </is>
      </c>
      <c r="X12" s="357" t="inlineStr">
        <is>
          <t>최종
합계</t>
        </is>
      </c>
      <c r="Z12" s="364" t="inlineStr">
        <is>
          <t>품의
여부</t>
        </is>
      </c>
      <c r="AB12" s="356" t="inlineStr">
        <is>
          <t>품의서 번호</t>
        </is>
      </c>
    </row>
    <row r="13">
      <c r="B13" s="356" t="inlineStr">
        <is>
          <t>부문</t>
        </is>
      </c>
      <c r="C13" s="356" t="inlineStr">
        <is>
          <t>팀명</t>
        </is>
      </c>
      <c r="D13" s="270" t="n"/>
      <c r="E13" s="270" t="n"/>
      <c r="F13" s="365" t="inlineStr">
        <is>
          <t>출발일</t>
        </is>
      </c>
      <c r="G13" s="365" t="inlineStr">
        <is>
          <t>복귀일</t>
        </is>
      </c>
      <c r="H13" s="360" t="inlineStr">
        <is>
          <t>숙박일수</t>
        </is>
      </c>
      <c r="I13" s="360" t="inlineStr">
        <is>
          <t>출장일수</t>
        </is>
      </c>
      <c r="J13" s="270" t="n"/>
      <c r="K13" s="270" t="n"/>
      <c r="L13" s="270" t="n"/>
      <c r="M13" s="366" t="inlineStr">
        <is>
          <t>(Y/N)</t>
        </is>
      </c>
      <c r="N13" s="367" t="inlineStr">
        <is>
          <t>교통비</t>
        </is>
      </c>
      <c r="O13" s="367" t="inlineStr">
        <is>
          <t>숙박비</t>
        </is>
      </c>
      <c r="P13" s="367" t="inlineStr">
        <is>
          <t>일당</t>
        </is>
      </c>
      <c r="Q13" s="367" t="inlineStr">
        <is>
          <t>교통비</t>
        </is>
      </c>
      <c r="R13" s="367" t="inlineStr">
        <is>
          <t>숙박비</t>
        </is>
      </c>
      <c r="S13" s="367" t="inlineStr">
        <is>
          <t>일당</t>
        </is>
      </c>
      <c r="T13" s="270" t="n"/>
      <c r="V13" s="270" t="n"/>
      <c r="X13" s="270" t="n"/>
      <c r="Z13" s="270" t="n"/>
      <c r="AB13" s="270" t="n"/>
    </row>
    <row r="14">
      <c r="B14" s="368" t="inlineStr">
        <is>
          <t>품질DX</t>
        </is>
      </c>
      <c r="C14" s="166" t="inlineStr">
        <is>
          <t>품질DX팀</t>
        </is>
      </c>
      <c r="D14" s="154" t="inlineStr">
        <is>
          <t>ESS 외주(피플웍스) 내재화 검토 및 외주(세방) 품질 IT 개선</t>
        </is>
      </c>
      <c r="E14" s="369" t="n">
        <v>4</v>
      </c>
      <c r="F14" s="151" t="n">
        <v>46311</v>
      </c>
      <c r="G14" s="151" t="n">
        <v>46325</v>
      </c>
      <c r="H14" s="370">
        <f>G14-F14</f>
        <v/>
      </c>
      <c r="I14" s="370">
        <f>H14+1</f>
        <v/>
      </c>
      <c r="J14" s="368" t="inlineStr">
        <is>
          <t>미주</t>
        </is>
      </c>
      <c r="K14" s="371" t="inlineStr">
        <is>
          <t>N</t>
        </is>
      </c>
      <c r="L14" s="182" t="n">
        <v>1</v>
      </c>
      <c r="M14" s="371" t="inlineStr">
        <is>
          <t>Y</t>
        </is>
      </c>
      <c r="N14" s="368">
        <f>IF(M14="Y",VLOOKUP(J14,'[2]참고. 출장비 단가'!$B$7:$F$13,2,FALSE),VLOOKUP(J14,'[2]참고. 출장비 단가'!$B$7:$F$13,3,FALSE))</f>
        <v/>
      </c>
      <c r="O14" s="368">
        <f>VLOOKUP($J14,'[2]참고. 출장비 단가'!$B$7:$F$13,4,FALSE)</f>
        <v/>
      </c>
      <c r="P14" s="368">
        <f>VLOOKUP($J14,'[2]참고. 출장비 단가'!$B$7:$F$13,5,FALSE)</f>
        <v/>
      </c>
      <c r="Q14" s="368">
        <f>N14*L14</f>
        <v/>
      </c>
      <c r="R14" s="368">
        <f>IF(K14="Y",0,H14*O14)*L14</f>
        <v/>
      </c>
      <c r="S14" s="368">
        <f>IF(I14&lt;15,I14*(P14+'[2]참고. 출장비 단가'!$D$29)*L14,P14*L14*14+(I14-14)*L14*P14*0.8)</f>
        <v/>
      </c>
      <c r="T14" s="372">
        <f>SUM(Q14:S14)</f>
        <v/>
      </c>
      <c r="V14" s="368" t="n">
        <v>0</v>
      </c>
      <c r="X14" s="306">
        <f>T14-V14</f>
        <v/>
      </c>
      <c r="Z14" s="373" t="n">
        <v>2</v>
      </c>
      <c r="AB14" s="374" t="n"/>
      <c r="AC14" s="375" t="n"/>
    </row>
    <row r="15">
      <c r="B15" s="368" t="inlineStr">
        <is>
          <t>품질DX</t>
        </is>
      </c>
      <c r="C15" s="166" t="inlineStr">
        <is>
          <t>품질DX팀</t>
        </is>
      </c>
      <c r="D15" s="154" t="inlineStr">
        <is>
          <t>ESS 외주(피플웍스) 내재화 검토 및 외주(세방) 품질 IT 개선</t>
        </is>
      </c>
      <c r="E15" s="369" t="n">
        <v>4</v>
      </c>
      <c r="F15" s="151" t="n">
        <v>46311</v>
      </c>
      <c r="G15" s="151" t="n">
        <v>46325</v>
      </c>
      <c r="H15" s="370">
        <f>G15-F15</f>
        <v/>
      </c>
      <c r="I15" s="370">
        <f>H15+1</f>
        <v/>
      </c>
      <c r="J15" s="368" t="inlineStr">
        <is>
          <t>미주</t>
        </is>
      </c>
      <c r="K15" s="371" t="inlineStr">
        <is>
          <t>N</t>
        </is>
      </c>
      <c r="L15" s="182" t="n">
        <v>1</v>
      </c>
      <c r="M15" s="371" t="inlineStr">
        <is>
          <t>N</t>
        </is>
      </c>
      <c r="N15" s="368">
        <f>IF(M15="Y",VLOOKUP(J15,'[2]참고. 출장비 단가'!$B$7:$F$13,2,FALSE),VLOOKUP(J15,'[2]참고. 출장비 단가'!$B$7:$F$13,3,FALSE))</f>
        <v/>
      </c>
      <c r="O15" s="368">
        <f>VLOOKUP($J15,'[2]참고. 출장비 단가'!$B$7:$F$13,4,FALSE)</f>
        <v/>
      </c>
      <c r="P15" s="368">
        <f>VLOOKUP($J15,'[2]참고. 출장비 단가'!$B$7:$F$13,5,FALSE)</f>
        <v/>
      </c>
      <c r="Q15" s="368">
        <f>N15*L15</f>
        <v/>
      </c>
      <c r="R15" s="368">
        <f>IF(K15="Y",0,H15*O15)*L15</f>
        <v/>
      </c>
      <c r="S15" s="368">
        <f>IF(I15&lt;15,I15*(P15+'[2]참고. 출장비 단가'!$D$29)*L15,P15*L15*14+(I15-14)*L15*P15*0.8)</f>
        <v/>
      </c>
      <c r="T15" s="372">
        <f>SUM(Q15:S15)</f>
        <v/>
      </c>
      <c r="V15" s="368" t="n">
        <v>0</v>
      </c>
      <c r="X15" s="306">
        <f>T15-V15</f>
        <v/>
      </c>
      <c r="Z15" s="373" t="n">
        <v>2</v>
      </c>
      <c r="AB15" s="374" t="n"/>
      <c r="AC15" s="375" t="n"/>
    </row>
    <row r="16" customFormat="1" s="376">
      <c r="B16" s="368" t="inlineStr">
        <is>
          <t>품질DX</t>
        </is>
      </c>
      <c r="C16" s="371" t="inlineStr">
        <is>
          <t>품질DX팀</t>
        </is>
      </c>
      <c r="D16" s="154" t="inlineStr">
        <is>
          <t>ESMI1 PDS 자동차 북미법인 확산</t>
        </is>
      </c>
      <c r="E16" s="369" t="n">
        <v>4</v>
      </c>
      <c r="F16" s="151" t="n">
        <v>46297</v>
      </c>
      <c r="G16" s="151" t="n">
        <v>46325</v>
      </c>
      <c r="H16" s="370">
        <f>G16-F16</f>
        <v/>
      </c>
      <c r="I16" s="370">
        <f>H16+1</f>
        <v/>
      </c>
      <c r="J16" s="368" t="inlineStr">
        <is>
          <t>미주</t>
        </is>
      </c>
      <c r="K16" s="371" t="inlineStr">
        <is>
          <t>N</t>
        </is>
      </c>
      <c r="L16" s="182" t="n">
        <v>1</v>
      </c>
      <c r="M16" s="371" t="inlineStr">
        <is>
          <t>N</t>
        </is>
      </c>
      <c r="N16" s="368">
        <f>IF(M16="Y",VLOOKUP(J16,'[2]참고. 출장비 단가'!$B$7:$F$13,2,FALSE),VLOOKUP(J16,'[2]참고. 출장비 단가'!$B$7:$F$13,3,FALSE))</f>
        <v/>
      </c>
      <c r="O16" s="368">
        <f>VLOOKUP($J16,'[2]참고. 출장비 단가'!$B$7:$F$13,4,FALSE)</f>
        <v/>
      </c>
      <c r="P16" s="368">
        <f>VLOOKUP($J16,'[2]참고. 출장비 단가'!$B$7:$F$13,5,FALSE)</f>
        <v/>
      </c>
      <c r="Q16" s="368">
        <f>N16*L16</f>
        <v/>
      </c>
      <c r="R16" s="368">
        <f>IF(K16="Y",0,H16*O16)*L16</f>
        <v/>
      </c>
      <c r="S16" s="368">
        <f>IF(I16&lt;15,I16*(P16+'[2]참고. 출장비 단가'!$D$29)*L16,P16*L16*14+(I16-14)*L16*P16*0.8)</f>
        <v/>
      </c>
      <c r="T16" s="372">
        <f>SUM(Q16:S16)</f>
        <v/>
      </c>
      <c r="V16" s="368" t="n">
        <v>14500000</v>
      </c>
      <c r="X16" s="306">
        <f>T16-V16</f>
        <v/>
      </c>
      <c r="Z16" s="373" t="n">
        <v>2</v>
      </c>
      <c r="AB16" s="374" t="n"/>
      <c r="AC16" s="375" t="n"/>
    </row>
    <row r="17">
      <c r="B17" s="368" t="inlineStr">
        <is>
          <t>품질DX</t>
        </is>
      </c>
      <c r="C17" s="166" t="inlineStr">
        <is>
          <t>품질DX팀</t>
        </is>
      </c>
      <c r="D17" s="149" t="inlineStr">
        <is>
          <t>ESMI-LS PDS ESS/자동차 북미법인 확산</t>
        </is>
      </c>
      <c r="E17" s="377" t="n">
        <v>4</v>
      </c>
      <c r="F17" s="151" t="n">
        <v>46297</v>
      </c>
      <c r="G17" s="151" t="n">
        <v>46325</v>
      </c>
      <c r="H17" s="370">
        <f>G17-F17</f>
        <v/>
      </c>
      <c r="I17" s="370">
        <f>H17+1</f>
        <v/>
      </c>
      <c r="J17" s="368" t="inlineStr">
        <is>
          <t>미주</t>
        </is>
      </c>
      <c r="K17" s="371" t="inlineStr">
        <is>
          <t>N</t>
        </is>
      </c>
      <c r="L17" s="182" t="n">
        <v>1</v>
      </c>
      <c r="M17" s="371" t="inlineStr">
        <is>
          <t>N</t>
        </is>
      </c>
      <c r="N17" s="368">
        <f>IF(M17="Y",VLOOKUP(J17,'[2]참고. 출장비 단가'!$B$7:$F$13,2,FALSE),VLOOKUP(J17,'[2]참고. 출장비 단가'!$B$7:$F$13,3,FALSE))</f>
        <v/>
      </c>
      <c r="O17" s="368">
        <f>VLOOKUP($J17,'[2]참고. 출장비 단가'!$B$7:$F$13,4,FALSE)</f>
        <v/>
      </c>
      <c r="P17" s="368">
        <f>VLOOKUP($J17,'[2]참고. 출장비 단가'!$B$7:$F$13,5,FALSE)</f>
        <v/>
      </c>
      <c r="Q17" s="368">
        <f>N17*L17</f>
        <v/>
      </c>
      <c r="R17" s="368">
        <f>IF(K17="Y",0,H17*O17)*L17</f>
        <v/>
      </c>
      <c r="S17" s="368">
        <f>IF(I17&lt;15,I17*(P17+'[2]참고. 출장비 단가'!$D$29)*L17,P17*L17*14+(I17-14)*L17*P17*0.8)</f>
        <v/>
      </c>
      <c r="T17" s="372">
        <f>SUM(Q17:S17)</f>
        <v/>
      </c>
      <c r="V17" s="368" t="n">
        <v>14500000</v>
      </c>
      <c r="X17" s="306">
        <f>T17-V17</f>
        <v/>
      </c>
      <c r="Z17" s="373" t="n">
        <v>2</v>
      </c>
      <c r="AB17" s="374" t="n"/>
      <c r="AC17" s="375" t="n"/>
    </row>
    <row r="18">
      <c r="B18" s="368" t="inlineStr">
        <is>
          <t>품질DX</t>
        </is>
      </c>
      <c r="C18" s="166" t="inlineStr">
        <is>
          <t>품질DX팀</t>
        </is>
      </c>
      <c r="D18" s="149" t="inlineStr">
        <is>
          <t>ESHG PDS 자동차 북미법인 확산</t>
        </is>
      </c>
      <c r="E18" s="377" t="n">
        <v>4</v>
      </c>
      <c r="F18" s="151" t="n">
        <v>46297</v>
      </c>
      <c r="G18" s="151" t="n">
        <v>46325</v>
      </c>
      <c r="H18" s="370">
        <f>G18-F18</f>
        <v/>
      </c>
      <c r="I18" s="370">
        <f>H18+1</f>
        <v/>
      </c>
      <c r="J18" s="368" t="inlineStr">
        <is>
          <t>미주</t>
        </is>
      </c>
      <c r="K18" s="371" t="inlineStr">
        <is>
          <t>N</t>
        </is>
      </c>
      <c r="L18" s="182" t="n">
        <v>1</v>
      </c>
      <c r="M18" s="371" t="inlineStr">
        <is>
          <t>N</t>
        </is>
      </c>
      <c r="N18" s="368">
        <f>IF(M18="Y",VLOOKUP(J18,'[2]참고. 출장비 단가'!$B$7:$F$13,2,FALSE),VLOOKUP(J18,'[2]참고. 출장비 단가'!$B$7:$F$13,3,FALSE))</f>
        <v/>
      </c>
      <c r="O18" s="368">
        <f>VLOOKUP($J18,'[2]참고. 출장비 단가'!$B$7:$F$13,4,FALSE)</f>
        <v/>
      </c>
      <c r="P18" s="368">
        <f>VLOOKUP($J18,'[2]참고. 출장비 단가'!$B$7:$F$13,5,FALSE)</f>
        <v/>
      </c>
      <c r="Q18" s="368">
        <f>N18*L18</f>
        <v/>
      </c>
      <c r="R18" s="368">
        <f>IF(K18="Y",0,H18*O18)*L18</f>
        <v/>
      </c>
      <c r="S18" s="368">
        <f>IF(I18&lt;15,I18*(P18+'[2]참고. 출장비 단가'!$D$29)*L18,P18*L18*14+(I18-14)*L18*P18*0.8)</f>
        <v/>
      </c>
      <c r="T18" s="372">
        <f>SUM(Q18:S18)</f>
        <v/>
      </c>
      <c r="V18" s="368" t="n">
        <v>14500000</v>
      </c>
      <c r="X18" s="306">
        <f>T18-V18</f>
        <v/>
      </c>
      <c r="Z18" s="373" t="n">
        <v>2</v>
      </c>
      <c r="AB18" s="374" t="n"/>
      <c r="AC18" s="375" t="n"/>
    </row>
    <row r="19">
      <c r="B19" s="368" t="inlineStr">
        <is>
          <t>품질DX</t>
        </is>
      </c>
      <c r="C19" s="371" t="inlineStr">
        <is>
          <t>설비DX팀</t>
        </is>
      </c>
      <c r="D19" s="149" t="inlineStr">
        <is>
          <t>ESHM GDC 현지 교육</t>
        </is>
      </c>
      <c r="E19" s="369" t="n">
        <v>3</v>
      </c>
      <c r="F19" s="151" t="n">
        <v>46272</v>
      </c>
      <c r="G19" s="151" t="n">
        <v>46285</v>
      </c>
      <c r="H19" s="370">
        <f>G19-F19</f>
        <v/>
      </c>
      <c r="I19" s="370">
        <f>H19+1</f>
        <v/>
      </c>
      <c r="J19" s="368" t="inlineStr">
        <is>
          <t>인도네시아</t>
        </is>
      </c>
      <c r="K19" s="371" t="inlineStr">
        <is>
          <t>N</t>
        </is>
      </c>
      <c r="L19" s="182" t="n">
        <v>1</v>
      </c>
      <c r="M19" s="371" t="inlineStr">
        <is>
          <t>N</t>
        </is>
      </c>
      <c r="N19" s="368">
        <f>IF(M19="Y",VLOOKUP(J19,'[2]참고. 출장비 단가'!$B$7:$F$13,2,FALSE),VLOOKUP(J19,'[2]참고. 출장비 단가'!$B$7:$F$13,3,FALSE))</f>
        <v/>
      </c>
      <c r="O19" s="368">
        <f>VLOOKUP($J19,'[2]참고. 출장비 단가'!$B$7:$F$13,4,FALSE)</f>
        <v/>
      </c>
      <c r="P19" s="368">
        <f>VLOOKUP($J19,'[2]참고. 출장비 단가'!$B$7:$F$13,5,FALSE)</f>
        <v/>
      </c>
      <c r="Q19" s="368">
        <f>N19*L19</f>
        <v/>
      </c>
      <c r="R19" s="368">
        <f>IF(K19="Y",0,H19*O19)*L19</f>
        <v/>
      </c>
      <c r="S19" s="368">
        <f>IF(I19&lt;15,I19*(P19+'[2]참고. 출장비 단가'!$D$29)*L19,P19*L19*14+(I19-14)*L19*P19*0.8)</f>
        <v/>
      </c>
      <c r="T19" s="372">
        <f>SUM(Q19:S19)</f>
        <v/>
      </c>
      <c r="V19" s="368" t="n">
        <v>0</v>
      </c>
      <c r="X19" s="306">
        <f>T19-V19</f>
        <v/>
      </c>
      <c r="Z19" s="373" t="n">
        <v>2</v>
      </c>
      <c r="AB19" s="374" t="n"/>
      <c r="AC19" s="375" t="n"/>
    </row>
    <row r="20">
      <c r="B20" s="368" t="inlineStr">
        <is>
          <t>품질DX</t>
        </is>
      </c>
      <c r="C20" s="371" t="inlineStr">
        <is>
          <t>설비DX팀</t>
        </is>
      </c>
      <c r="D20" s="154" t="inlineStr">
        <is>
          <t>ESWA 롤맵 2.0전환/Tagless 지원</t>
        </is>
      </c>
      <c r="E20" s="369" t="n">
        <v>3</v>
      </c>
      <c r="F20" s="151" t="n">
        <v>46258</v>
      </c>
      <c r="G20" s="151" t="n">
        <v>46287</v>
      </c>
      <c r="H20" s="370">
        <f>G20-F20</f>
        <v/>
      </c>
      <c r="I20" s="370">
        <f>H20+1</f>
        <v/>
      </c>
      <c r="J20" s="368" t="inlineStr">
        <is>
          <t>폴란드</t>
        </is>
      </c>
      <c r="K20" s="371" t="inlineStr">
        <is>
          <t>N</t>
        </is>
      </c>
      <c r="L20" s="182" t="n">
        <v>2</v>
      </c>
      <c r="M20" s="371" t="inlineStr">
        <is>
          <t>N</t>
        </is>
      </c>
      <c r="N20" s="368">
        <f>IF(M20="Y",VLOOKUP(J20,'[2]참고. 출장비 단가'!$B$7:$F$13,2,FALSE),VLOOKUP(J20,'[2]참고. 출장비 단가'!$B$7:$F$13,3,FALSE))</f>
        <v/>
      </c>
      <c r="O20" s="368">
        <f>VLOOKUP($J20,'[2]참고. 출장비 단가'!$B$7:$F$13,4,FALSE)</f>
        <v/>
      </c>
      <c r="P20" s="368">
        <f>VLOOKUP($J20,'[2]참고. 출장비 단가'!$B$7:$F$13,5,FALSE)</f>
        <v/>
      </c>
      <c r="Q20" s="368">
        <f>N20*L20</f>
        <v/>
      </c>
      <c r="R20" s="368">
        <f>IF(K20="Y",0,H20*O20)*L20</f>
        <v/>
      </c>
      <c r="S20" s="368">
        <f>IF(I20&lt;15,I20*(P20+'[2]참고. 출장비 단가'!$D$29)*L20,P20*L20*14+(I20-14)*L20*P20*0.8)</f>
        <v/>
      </c>
      <c r="T20" s="372">
        <f>SUM(Q20:S20)</f>
        <v/>
      </c>
      <c r="V20" s="368" t="n">
        <v>0</v>
      </c>
      <c r="X20" s="306">
        <f>T20-V20</f>
        <v/>
      </c>
      <c r="Z20" s="373" t="n">
        <v>2</v>
      </c>
      <c r="AB20" s="374" t="n"/>
      <c r="AC20" s="375" t="n"/>
    </row>
    <row r="21">
      <c r="B21" s="368" t="inlineStr">
        <is>
          <t>품질DX</t>
        </is>
      </c>
      <c r="C21" s="371" t="inlineStr">
        <is>
          <t>설비DX팀</t>
        </is>
      </c>
      <c r="D21" s="154" t="inlineStr">
        <is>
          <t>ESMI 롤맵 고도화 기능 수평전개</t>
        </is>
      </c>
      <c r="E21" s="369" t="n">
        <v>3</v>
      </c>
      <c r="F21" s="151" t="n">
        <v>46240</v>
      </c>
      <c r="G21" s="151" t="n">
        <v>46268</v>
      </c>
      <c r="H21" s="370">
        <f>G21-F21</f>
        <v/>
      </c>
      <c r="I21" s="370">
        <f>H21+1</f>
        <v/>
      </c>
      <c r="J21" s="368" t="inlineStr">
        <is>
          <t>미주</t>
        </is>
      </c>
      <c r="K21" s="371" t="inlineStr">
        <is>
          <t>N</t>
        </is>
      </c>
      <c r="L21" s="182" t="n">
        <v>2</v>
      </c>
      <c r="M21" s="371" t="inlineStr">
        <is>
          <t>N</t>
        </is>
      </c>
      <c r="N21" s="368">
        <f>IF(M21="Y",VLOOKUP(J21,'[2]참고. 출장비 단가'!$B$7:$F$13,2,FALSE),VLOOKUP(J21,'[2]참고. 출장비 단가'!$B$7:$F$13,3,FALSE))</f>
        <v/>
      </c>
      <c r="O21" s="368">
        <f>VLOOKUP($J21,'[2]참고. 출장비 단가'!$B$7:$F$13,4,FALSE)</f>
        <v/>
      </c>
      <c r="P21" s="368">
        <f>VLOOKUP($J21,'[2]참고. 출장비 단가'!$B$7:$F$13,5,FALSE)</f>
        <v/>
      </c>
      <c r="Q21" s="368">
        <f>N21*L21</f>
        <v/>
      </c>
      <c r="R21" s="368">
        <f>IF(K21="Y",0,H21*O21)*L21</f>
        <v/>
      </c>
      <c r="S21" s="368">
        <f>IF(I21&lt;15,I21*(P21+'[2]참고. 출장비 단가'!$D$29)*L21,P21*L21*14+(I21-14)*L21*P21*0.8)</f>
        <v/>
      </c>
      <c r="T21" s="372">
        <f>SUM(Q21:S21)</f>
        <v/>
      </c>
      <c r="V21" s="368">
        <f>T21</f>
        <v/>
      </c>
      <c r="X21" s="306">
        <f>T21-V21</f>
        <v/>
      </c>
      <c r="Z21" s="373" t="n">
        <v>2</v>
      </c>
      <c r="AB21" s="374" t="n"/>
      <c r="AC21" s="375" t="n"/>
    </row>
    <row r="22">
      <c r="B22" s="368" t="inlineStr">
        <is>
          <t>품질DX</t>
        </is>
      </c>
      <c r="C22" s="371" t="inlineStr">
        <is>
          <t>설비DX팀</t>
        </is>
      </c>
      <c r="D22" s="154" t="inlineStr">
        <is>
          <t>ESMI_LS 롤맵 각형 대표라인 전개</t>
        </is>
      </c>
      <c r="E22" s="369" t="n">
        <v>4</v>
      </c>
      <c r="F22" s="151" t="n">
        <v>46357</v>
      </c>
      <c r="G22" s="151" t="n">
        <v>46379</v>
      </c>
      <c r="H22" s="370">
        <f>G22-F22</f>
        <v/>
      </c>
      <c r="I22" s="370">
        <f>H22+1</f>
        <v/>
      </c>
      <c r="J22" s="368" t="inlineStr">
        <is>
          <t>미주</t>
        </is>
      </c>
      <c r="K22" s="371" t="inlineStr">
        <is>
          <t>N</t>
        </is>
      </c>
      <c r="L22" s="182" t="n">
        <v>2</v>
      </c>
      <c r="M22" s="371" t="inlineStr">
        <is>
          <t>N</t>
        </is>
      </c>
      <c r="N22" s="368">
        <f>IF(M22="Y",VLOOKUP(J22,'[2]참고. 출장비 단가'!$B$7:$F$13,2,FALSE),VLOOKUP(J22,'[2]참고. 출장비 단가'!$B$7:$F$13,3,FALSE))</f>
        <v/>
      </c>
      <c r="O22" s="368">
        <f>VLOOKUP($J22,'[2]참고. 출장비 단가'!$B$7:$F$13,4,FALSE)</f>
        <v/>
      </c>
      <c r="P22" s="368">
        <f>VLOOKUP($J22,'[2]참고. 출장비 단가'!$B$7:$F$13,5,FALSE)</f>
        <v/>
      </c>
      <c r="Q22" s="368">
        <f>N22*L22</f>
        <v/>
      </c>
      <c r="R22" s="368">
        <f>IF(K22="Y",0,H22*O22)*L22</f>
        <v/>
      </c>
      <c r="S22" s="368">
        <f>IF(I22&lt;15,I22*(P22+'[2]참고. 출장비 단가'!$D$29)*L22,P22*L22*14+(I22-14)*L22*P22*0.8)</f>
        <v/>
      </c>
      <c r="T22" s="372">
        <f>SUM(Q22:S22)</f>
        <v/>
      </c>
      <c r="V22" s="368">
        <f>T22</f>
        <v/>
      </c>
      <c r="X22" s="306">
        <f>T22-V22</f>
        <v/>
      </c>
      <c r="Z22" s="373" t="n">
        <v>2</v>
      </c>
      <c r="AB22" s="374" t="n"/>
      <c r="AC22" s="375" t="n"/>
    </row>
    <row r="23">
      <c r="B23" s="368" t="inlineStr">
        <is>
          <t>품질DX</t>
        </is>
      </c>
      <c r="C23" s="371" t="inlineStr">
        <is>
          <t>설비DX팀</t>
        </is>
      </c>
      <c r="D23" s="154" t="inlineStr">
        <is>
          <t>설비관리시스템(EMS) ESAZ 법인 확산 전개</t>
        </is>
      </c>
      <c r="E23" s="369" t="n">
        <v>4</v>
      </c>
      <c r="F23" s="151" t="n">
        <v>46342</v>
      </c>
      <c r="G23" s="151" t="n">
        <v>46362</v>
      </c>
      <c r="H23" s="370">
        <f>G23-F23</f>
        <v/>
      </c>
      <c r="I23" s="370">
        <f>H23+1</f>
        <v/>
      </c>
      <c r="J23" s="368" t="inlineStr">
        <is>
          <t>미주</t>
        </is>
      </c>
      <c r="K23" s="371" t="inlineStr">
        <is>
          <t>N</t>
        </is>
      </c>
      <c r="L23" s="182" t="n">
        <v>2</v>
      </c>
      <c r="M23" s="371" t="inlineStr">
        <is>
          <t>N</t>
        </is>
      </c>
      <c r="N23" s="368">
        <f>IF(M23="Y",VLOOKUP(J23,'[2]참고. 출장비 단가'!$B$7:$F$13,2,FALSE),VLOOKUP(J23,'[2]참고. 출장비 단가'!$B$7:$F$13,3,FALSE))</f>
        <v/>
      </c>
      <c r="O23" s="368">
        <f>VLOOKUP($J23,'[2]참고. 출장비 단가'!$B$7:$F$13,4,FALSE)</f>
        <v/>
      </c>
      <c r="P23" s="368">
        <f>VLOOKUP($J23,'[2]참고. 출장비 단가'!$B$7:$F$13,5,FALSE)</f>
        <v/>
      </c>
      <c r="Q23" s="368">
        <f>N23*L23</f>
        <v/>
      </c>
      <c r="R23" s="368">
        <f>IF(K23="Y",0,H23*O23)*L23</f>
        <v/>
      </c>
      <c r="S23" s="368">
        <f>IF(I23&lt;15,I23*(P23+'[2]참고. 출장비 단가'!$D$29)*L23,P23*L23*14+(I23-14)*L23*P23*0.8)</f>
        <v/>
      </c>
      <c r="T23" s="372">
        <f>SUM(Q23:S23)</f>
        <v/>
      </c>
      <c r="V23" s="368">
        <f>T23</f>
        <v/>
      </c>
      <c r="X23" s="306">
        <f>T23-V23</f>
        <v/>
      </c>
      <c r="Z23" s="373" t="n">
        <v>2</v>
      </c>
      <c r="AB23" s="374" t="n"/>
      <c r="AC23" s="375" t="n"/>
    </row>
    <row r="24">
      <c r="B24" s="368" t="inlineStr">
        <is>
          <t>품질DX</t>
        </is>
      </c>
      <c r="C24" s="371" t="inlineStr">
        <is>
          <t>설비DX팀</t>
        </is>
      </c>
      <c r="D24" s="154" t="inlineStr">
        <is>
          <t>ESWA EMS BM AX 과제 현지 검증/테스트</t>
        </is>
      </c>
      <c r="E24" s="369" t="n">
        <v>3</v>
      </c>
      <c r="F24" s="151" t="n">
        <v>46285</v>
      </c>
      <c r="G24" s="151" t="n">
        <v>46295</v>
      </c>
      <c r="H24" s="370">
        <f>G24-F24</f>
        <v/>
      </c>
      <c r="I24" s="370">
        <f>H24+1</f>
        <v/>
      </c>
      <c r="J24" s="368" t="inlineStr">
        <is>
          <t>폴란드</t>
        </is>
      </c>
      <c r="K24" s="371" t="inlineStr">
        <is>
          <t>N</t>
        </is>
      </c>
      <c r="L24" s="182" t="n">
        <v>1</v>
      </c>
      <c r="M24" s="371" t="inlineStr">
        <is>
          <t>N</t>
        </is>
      </c>
      <c r="N24" s="368">
        <f>IF(M24="Y",VLOOKUP(J24,'[2]참고. 출장비 단가'!$B$7:$F$13,2,FALSE),VLOOKUP(J24,'[2]참고. 출장비 단가'!$B$7:$F$13,3,FALSE))</f>
        <v/>
      </c>
      <c r="O24" s="368">
        <f>VLOOKUP($J24,'[2]참고. 출장비 단가'!$B$7:$F$13,4,FALSE)</f>
        <v/>
      </c>
      <c r="P24" s="368">
        <f>VLOOKUP($J24,'[2]참고. 출장비 단가'!$B$7:$F$13,5,FALSE)</f>
        <v/>
      </c>
      <c r="Q24" s="368">
        <f>N24*L24</f>
        <v/>
      </c>
      <c r="R24" s="368">
        <f>IF(K24="Y",0,H24*O24)*L24</f>
        <v/>
      </c>
      <c r="S24" s="368">
        <f>IF(I24&lt;15,I24*(P24+'[2]참고. 출장비 단가'!$D$29)*L24,P24*L24*14+(I24-14)*L24*P24*0.8)</f>
        <v/>
      </c>
      <c r="T24" s="372">
        <f>SUM(Q24:S24)</f>
        <v/>
      </c>
      <c r="V24" s="368" t="n">
        <v>0</v>
      </c>
      <c r="X24" s="306">
        <f>T24-V24</f>
        <v/>
      </c>
      <c r="Z24" s="373" t="n">
        <v>2</v>
      </c>
      <c r="AB24" s="374" t="n"/>
      <c r="AC24" s="375" t="n"/>
    </row>
    <row r="25">
      <c r="B25" s="368" t="inlineStr">
        <is>
          <t>품질DX</t>
        </is>
      </c>
      <c r="C25" s="371" t="inlineStr">
        <is>
          <t>공정DX팀</t>
        </is>
      </c>
      <c r="D25" s="154" t="inlineStr">
        <is>
          <t>ESAZ법인 MMA(DCS) 구축</t>
        </is>
      </c>
      <c r="E25" s="369" t="n">
        <v>3</v>
      </c>
      <c r="F25" s="151" t="n">
        <v>46262</v>
      </c>
      <c r="G25" s="151" t="n">
        <v>46283</v>
      </c>
      <c r="H25" s="370">
        <f>G25-F25</f>
        <v/>
      </c>
      <c r="I25" s="370">
        <f>H25+1</f>
        <v/>
      </c>
      <c r="J25" s="368" t="inlineStr">
        <is>
          <t>미주</t>
        </is>
      </c>
      <c r="K25" s="371" t="inlineStr">
        <is>
          <t>N</t>
        </is>
      </c>
      <c r="L25" s="182" t="n">
        <v>1</v>
      </c>
      <c r="M25" s="371" t="inlineStr">
        <is>
          <t>N</t>
        </is>
      </c>
      <c r="N25" s="368">
        <f>IF(M25="Y",VLOOKUP(J25,'[2]참고. 출장비 단가'!$B$7:$F$13,2,FALSE),VLOOKUP(J25,'[2]참고. 출장비 단가'!$B$7:$F$13,3,FALSE))</f>
        <v/>
      </c>
      <c r="O25" s="368">
        <f>VLOOKUP($J25,'[2]참고. 출장비 단가'!$B$7:$F$13,4,FALSE)</f>
        <v/>
      </c>
      <c r="P25" s="368">
        <f>VLOOKUP($J25,'[2]참고. 출장비 단가'!$B$7:$F$13,5,FALSE)</f>
        <v/>
      </c>
      <c r="Q25" s="368">
        <f>N25*L25</f>
        <v/>
      </c>
      <c r="R25" s="368">
        <f>IF(K25="Y",0,H25*O25)*L25</f>
        <v/>
      </c>
      <c r="S25" s="368">
        <f>IF(I25&lt;15,I25*(P25+'[2]참고. 출장비 단가'!$D$29)*L25,P25*L25*14+(I25-14)*L25*P25*0.8)</f>
        <v/>
      </c>
      <c r="T25" s="372">
        <f>SUM(Q25:S25)</f>
        <v/>
      </c>
      <c r="V25" s="368" t="n">
        <v>12260000</v>
      </c>
      <c r="X25" s="306">
        <f>T25-V25</f>
        <v/>
      </c>
      <c r="Z25" s="373" t="n">
        <v>2</v>
      </c>
      <c r="AB25" s="374" t="n"/>
      <c r="AC25" s="375" t="n"/>
    </row>
    <row r="26">
      <c r="B26" s="368" t="inlineStr">
        <is>
          <t>품질DX</t>
        </is>
      </c>
      <c r="C26" s="371" t="inlineStr">
        <is>
          <t>공정DX팀</t>
        </is>
      </c>
      <c r="D26" s="154" t="inlineStr">
        <is>
          <t>ESMI, ESMI_L, ESOT 법인 eIoT → FDC 전환</t>
        </is>
      </c>
      <c r="E26" s="369" t="n">
        <v>3</v>
      </c>
      <c r="F26" s="151" t="n">
        <v>46237</v>
      </c>
      <c r="G26" s="151" t="n">
        <v>46255</v>
      </c>
      <c r="H26" s="370">
        <f>G26-F26</f>
        <v/>
      </c>
      <c r="I26" s="370">
        <f>H26+1</f>
        <v/>
      </c>
      <c r="J26" s="368" t="inlineStr">
        <is>
          <t>미주</t>
        </is>
      </c>
      <c r="K26" s="371" t="inlineStr">
        <is>
          <t>N</t>
        </is>
      </c>
      <c r="L26" s="182" t="n">
        <v>1</v>
      </c>
      <c r="M26" s="371" t="inlineStr">
        <is>
          <t>N</t>
        </is>
      </c>
      <c r="N26" s="368">
        <f>IF(M26="Y",VLOOKUP(J26,'[2]참고. 출장비 단가'!$B$7:$F$13,2,FALSE),VLOOKUP(J26,'[2]참고. 출장비 단가'!$B$7:$F$13,3,FALSE))</f>
        <v/>
      </c>
      <c r="O26" s="368">
        <f>VLOOKUP($J26,'[2]참고. 출장비 단가'!$B$7:$F$13,4,FALSE)</f>
        <v/>
      </c>
      <c r="P26" s="368">
        <f>VLOOKUP($J26,'[2]참고. 출장비 단가'!$B$7:$F$13,5,FALSE)</f>
        <v/>
      </c>
      <c r="Q26" s="368">
        <f>N26*L26</f>
        <v/>
      </c>
      <c r="R26" s="368">
        <f>IF(K26="Y",0,H26*O26)*L26</f>
        <v/>
      </c>
      <c r="S26" s="368">
        <f>IF(I26&lt;15,I26*(P26+'[2]참고. 출장비 단가'!$D$29)*L26,P26*L26*14+(I26-14)*L26*P26*0.8)</f>
        <v/>
      </c>
      <c r="T26" s="372">
        <f>SUM(Q26:S26)</f>
        <v/>
      </c>
      <c r="V26" s="368" t="n">
        <v>0</v>
      </c>
      <c r="X26" s="306">
        <f>T26-V26</f>
        <v/>
      </c>
      <c r="Z26" s="373" t="n">
        <v>2</v>
      </c>
      <c r="AB26" s="374" t="n"/>
      <c r="AC26" s="375" t="n"/>
    </row>
    <row r="27">
      <c r="B27" s="368" t="inlineStr">
        <is>
          <t>품질DX</t>
        </is>
      </c>
      <c r="C27" s="371" t="inlineStr">
        <is>
          <t>공정DX팀</t>
        </is>
      </c>
      <c r="D27" s="154" t="inlineStr">
        <is>
          <t>ESHG, ESHD법인 eIoT → FDC 전환</t>
        </is>
      </c>
      <c r="E27" s="369" t="n">
        <v>3</v>
      </c>
      <c r="F27" s="151" t="n">
        <v>46246</v>
      </c>
      <c r="G27" s="151" t="n">
        <v>46262</v>
      </c>
      <c r="H27" s="370">
        <f>G27-F27</f>
        <v/>
      </c>
      <c r="I27" s="370">
        <f>H27+1</f>
        <v/>
      </c>
      <c r="J27" s="368" t="inlineStr">
        <is>
          <t>미주</t>
        </is>
      </c>
      <c r="K27" s="371" t="inlineStr">
        <is>
          <t>N</t>
        </is>
      </c>
      <c r="L27" s="182" t="n">
        <v>1</v>
      </c>
      <c r="M27" s="371" t="inlineStr">
        <is>
          <t>N</t>
        </is>
      </c>
      <c r="N27" s="368">
        <f>IF(M27="Y",VLOOKUP(J27,'[2]참고. 출장비 단가'!$B$7:$F$13,2,FALSE),VLOOKUP(J27,'[2]참고. 출장비 단가'!$B$7:$F$13,3,FALSE))</f>
        <v/>
      </c>
      <c r="O27" s="368">
        <f>VLOOKUP($J27,'[2]참고. 출장비 단가'!$B$7:$F$13,4,FALSE)</f>
        <v/>
      </c>
      <c r="P27" s="368">
        <f>VLOOKUP($J27,'[2]참고. 출장비 단가'!$B$7:$F$13,5,FALSE)</f>
        <v/>
      </c>
      <c r="Q27" s="368">
        <f>N27*L27</f>
        <v/>
      </c>
      <c r="R27" s="368">
        <f>IF(K27="Y",0,H27*O27)*L27</f>
        <v/>
      </c>
      <c r="S27" s="368">
        <f>IF(I27&lt;15,I27*(P27+'[2]참고. 출장비 단가'!$D$29)*L27,P27*L27*14+(I27-14)*L27*P27*0.8)</f>
        <v/>
      </c>
      <c r="T27" s="372">
        <f>SUM(Q27:S27)</f>
        <v/>
      </c>
      <c r="V27" s="368" t="n">
        <v>0</v>
      </c>
      <c r="X27" s="306">
        <f>T27-V27</f>
        <v/>
      </c>
      <c r="Z27" s="373" t="n">
        <v>2</v>
      </c>
      <c r="AB27" s="374" t="n"/>
      <c r="AC27" s="375" t="n"/>
    </row>
    <row r="28">
      <c r="B28" s="368" t="inlineStr">
        <is>
          <t>품질DX</t>
        </is>
      </c>
      <c r="C28" s="371" t="inlineStr">
        <is>
          <t>공정DX팀</t>
        </is>
      </c>
      <c r="D28" s="154" t="inlineStr">
        <is>
          <t>ESGM1, ESGM2법인 eIoT → FDC 전환</t>
        </is>
      </c>
      <c r="E28" s="369" t="n">
        <v>3</v>
      </c>
      <c r="F28" s="151" t="n">
        <v>46272</v>
      </c>
      <c r="G28" s="151" t="n">
        <v>46288</v>
      </c>
      <c r="H28" s="370">
        <f>G28-F28</f>
        <v/>
      </c>
      <c r="I28" s="370">
        <f>H28+1</f>
        <v/>
      </c>
      <c r="J28" s="368" t="inlineStr">
        <is>
          <t>미주</t>
        </is>
      </c>
      <c r="K28" s="371" t="inlineStr">
        <is>
          <t>N</t>
        </is>
      </c>
      <c r="L28" s="182" t="n">
        <v>1</v>
      </c>
      <c r="M28" s="371" t="inlineStr">
        <is>
          <t>N</t>
        </is>
      </c>
      <c r="N28" s="368">
        <f>IF(M28="Y",VLOOKUP(J28,'[2]참고. 출장비 단가'!$B$7:$F$13,2,FALSE),VLOOKUP(J28,'[2]참고. 출장비 단가'!$B$7:$F$13,3,FALSE))</f>
        <v/>
      </c>
      <c r="O28" s="368">
        <f>VLOOKUP($J28,'[2]참고. 출장비 단가'!$B$7:$F$13,4,FALSE)</f>
        <v/>
      </c>
      <c r="P28" s="368">
        <f>VLOOKUP($J28,'[2]참고. 출장비 단가'!$B$7:$F$13,5,FALSE)</f>
        <v/>
      </c>
      <c r="Q28" s="368">
        <f>N28*L28</f>
        <v/>
      </c>
      <c r="R28" s="368">
        <f>IF(K28="Y",0,H28*O28)*L28</f>
        <v/>
      </c>
      <c r="S28" s="368">
        <f>IF(I28&lt;15,I28*(P28+'[2]참고. 출장비 단가'!$D$29)*L28,P28*L28*14+(I28-14)*L28*P28*0.8)</f>
        <v/>
      </c>
      <c r="T28" s="372">
        <f>SUM(Q28:S28)</f>
        <v/>
      </c>
      <c r="V28" s="368" t="n">
        <v>0</v>
      </c>
      <c r="X28" s="306">
        <f>T28-V28</f>
        <v/>
      </c>
      <c r="Z28" s="373" t="n">
        <v>2</v>
      </c>
      <c r="AB28" s="374" t="n"/>
      <c r="AC28" s="375" t="n"/>
    </row>
    <row r="29">
      <c r="B29" s="368" t="inlineStr">
        <is>
          <t>품질DX</t>
        </is>
      </c>
      <c r="C29" s="371" t="inlineStr">
        <is>
          <t>공정DX팀</t>
        </is>
      </c>
      <c r="D29" s="154" t="inlineStr">
        <is>
          <t>ESHM법인 eIoT → FDC 전환</t>
        </is>
      </c>
      <c r="E29" s="369" t="n">
        <v>3</v>
      </c>
      <c r="F29" s="151" t="n">
        <v>46265</v>
      </c>
      <c r="G29" s="151" t="n">
        <v>46269</v>
      </c>
      <c r="H29" s="370">
        <f>G29-F29</f>
        <v/>
      </c>
      <c r="I29" s="370">
        <f>H29+1</f>
        <v/>
      </c>
      <c r="J29" s="368" t="inlineStr">
        <is>
          <t>인도네시아</t>
        </is>
      </c>
      <c r="K29" s="371" t="inlineStr">
        <is>
          <t>N</t>
        </is>
      </c>
      <c r="L29" s="182" t="n">
        <v>1</v>
      </c>
      <c r="M29" s="371" t="inlineStr">
        <is>
          <t>N</t>
        </is>
      </c>
      <c r="N29" s="368">
        <f>IF(M29="Y",VLOOKUP(J29,'[2]참고. 출장비 단가'!$B$7:$F$13,2,FALSE),VLOOKUP(J29,'[2]참고. 출장비 단가'!$B$7:$F$13,3,FALSE))</f>
        <v/>
      </c>
      <c r="O29" s="368">
        <f>VLOOKUP($J29,'[2]참고. 출장비 단가'!$B$7:$F$13,4,FALSE)</f>
        <v/>
      </c>
      <c r="P29" s="368">
        <f>VLOOKUP($J29,'[2]참고. 출장비 단가'!$B$7:$F$13,5,FALSE)</f>
        <v/>
      </c>
      <c r="Q29" s="368">
        <f>N29*L29</f>
        <v/>
      </c>
      <c r="R29" s="368">
        <f>IF(K29="Y",0,H29*O29)*L29</f>
        <v/>
      </c>
      <c r="S29" s="368">
        <f>IF(I29&lt;15,I29*(P29+'[2]참고. 출장비 단가'!$D$29)*L29,P29*L29*14+(I29-14)*L29*P29*0.8)</f>
        <v/>
      </c>
      <c r="T29" s="372">
        <f>SUM(Q29:S29)</f>
        <v/>
      </c>
      <c r="V29" s="368" t="n">
        <v>0</v>
      </c>
      <c r="X29" s="306">
        <f>T29-V29</f>
        <v/>
      </c>
      <c r="Z29" s="373" t="n">
        <v>2</v>
      </c>
      <c r="AB29" s="374" t="n"/>
      <c r="AC29" s="375" t="n"/>
    </row>
    <row r="30">
      <c r="B30" s="368" t="inlineStr">
        <is>
          <t>품질DX</t>
        </is>
      </c>
      <c r="C30" s="371" t="inlineStr">
        <is>
          <t>공정DX팀</t>
        </is>
      </c>
      <c r="D30" s="143" t="inlineStr">
        <is>
          <t>ESWA법인 eIoT → FDC 전환</t>
        </is>
      </c>
      <c r="E30" s="378" t="n">
        <v>3</v>
      </c>
      <c r="F30" s="145" t="n">
        <v>46279</v>
      </c>
      <c r="G30" s="145" t="n">
        <v>46297</v>
      </c>
      <c r="H30" s="379">
        <f>G30-F30</f>
        <v/>
      </c>
      <c r="I30" s="370">
        <f>H30+1</f>
        <v/>
      </c>
      <c r="J30" s="368" t="inlineStr">
        <is>
          <t>폴란드</t>
        </is>
      </c>
      <c r="K30" s="371" t="inlineStr">
        <is>
          <t>N</t>
        </is>
      </c>
      <c r="L30" s="152" t="inlineStr">
        <is>
          <t>1</t>
        </is>
      </c>
      <c r="M30" s="371" t="inlineStr">
        <is>
          <t>N</t>
        </is>
      </c>
      <c r="N30" s="368">
        <f>IF(M30="Y",VLOOKUP(J30,'[2]참고. 출장비 단가'!$B$7:$F$13,2,FALSE),VLOOKUP(J30,'[2]참고. 출장비 단가'!$B$7:$F$13,3,FALSE))</f>
        <v/>
      </c>
      <c r="O30" s="368">
        <f>VLOOKUP($J30,'[2]참고. 출장비 단가'!$B$7:$F$13,4,FALSE)</f>
        <v/>
      </c>
      <c r="P30" s="368">
        <f>VLOOKUP($J30,'[2]참고. 출장비 단가'!$B$7:$F$13,5,FALSE)</f>
        <v/>
      </c>
      <c r="Q30" s="368">
        <f>N30*L30</f>
        <v/>
      </c>
      <c r="R30" s="368">
        <f>IF(K30="Y",0,H30*O30)*L30</f>
        <v/>
      </c>
      <c r="S30" s="368">
        <f>IF(I30&lt;15,I30*(P30+'[2]참고. 출장비 단가'!$D$29)*L30,P30*L30*14+(I30-14)*L30*P30*0.8)</f>
        <v/>
      </c>
      <c r="T30" s="372">
        <f>SUM(Q30:S30)</f>
        <v/>
      </c>
      <c r="V30" s="368" t="n">
        <v>0</v>
      </c>
      <c r="X30" s="306">
        <f>T30-V30</f>
        <v/>
      </c>
      <c r="Z30" s="373" t="n">
        <v>2</v>
      </c>
      <c r="AB30" s="374" t="n"/>
      <c r="AC30" s="375" t="n"/>
    </row>
    <row r="31">
      <c r="B31" s="368" t="inlineStr">
        <is>
          <t>품질DX</t>
        </is>
      </c>
      <c r="C31" s="371" t="inlineStr">
        <is>
          <t>공정DX팀</t>
        </is>
      </c>
      <c r="D31" s="143" t="inlineStr">
        <is>
          <t>ESNJ, ESNB, ESNJ 법인 eIoT → FDC 전환</t>
        </is>
      </c>
      <c r="E31" s="378" t="n">
        <v>3</v>
      </c>
      <c r="F31" s="145" t="n">
        <v>46280</v>
      </c>
      <c r="G31" s="145" t="n">
        <v>46310</v>
      </c>
      <c r="H31" s="379">
        <f>G31-F31</f>
        <v/>
      </c>
      <c r="I31" s="370">
        <f>H31+1</f>
        <v/>
      </c>
      <c r="J31" s="368" t="inlineStr">
        <is>
          <t>중국</t>
        </is>
      </c>
      <c r="K31" s="371" t="inlineStr">
        <is>
          <t>N</t>
        </is>
      </c>
      <c r="L31" s="152" t="inlineStr">
        <is>
          <t>1</t>
        </is>
      </c>
      <c r="M31" s="371" t="inlineStr">
        <is>
          <t>N</t>
        </is>
      </c>
      <c r="N31" s="368">
        <f>IF(M31="Y",VLOOKUP(J31,'[2]참고. 출장비 단가'!$B$7:$F$13,2,FALSE),VLOOKUP(J31,'[2]참고. 출장비 단가'!$B$7:$F$13,3,FALSE))</f>
        <v/>
      </c>
      <c r="O31" s="368">
        <f>VLOOKUP($J31,'[2]참고. 출장비 단가'!$B$7:$F$13,4,FALSE)</f>
        <v/>
      </c>
      <c r="P31" s="368">
        <f>VLOOKUP($J31,'[2]참고. 출장비 단가'!$B$7:$F$13,5,FALSE)</f>
        <v/>
      </c>
      <c r="Q31" s="368">
        <f>N31*L31</f>
        <v/>
      </c>
      <c r="R31" s="368">
        <f>IF(K31="Y",0,H31*O31)*L31</f>
        <v/>
      </c>
      <c r="S31" s="368">
        <f>IF(I31&lt;15,I31*(P31+'[2]참고. 출장비 단가'!$D$29)*L31,P31*L31*14+(I31-14)*L31*P31*0.8)</f>
        <v/>
      </c>
      <c r="T31" s="372">
        <f>SUM(Q31:S31)</f>
        <v/>
      </c>
      <c r="V31" s="368" t="n">
        <v>0</v>
      </c>
      <c r="X31" s="306">
        <f>T31-V31</f>
        <v/>
      </c>
      <c r="Z31" s="373" t="n">
        <v>2</v>
      </c>
      <c r="AB31" s="374" t="n"/>
      <c r="AC31" s="375" t="n"/>
    </row>
    <row r="32">
      <c r="B32" s="368" t="inlineStr">
        <is>
          <t>품질DX</t>
        </is>
      </c>
      <c r="C32" s="371" t="inlineStr">
        <is>
          <t>공정DX팀</t>
        </is>
      </c>
      <c r="D32" s="154" t="inlineStr">
        <is>
          <t>SW/MOD VCT 시스템 구축</t>
        </is>
      </c>
      <c r="E32" s="369" t="n">
        <v>3</v>
      </c>
      <c r="F32" s="151" t="n">
        <v>46262</v>
      </c>
      <c r="G32" s="151" t="n">
        <v>46283</v>
      </c>
      <c r="H32" s="370">
        <f>G32-F32</f>
        <v/>
      </c>
      <c r="I32" s="370">
        <f>H32+1</f>
        <v/>
      </c>
      <c r="J32" s="368" t="inlineStr">
        <is>
          <t>폴란드</t>
        </is>
      </c>
      <c r="K32" s="371" t="inlineStr">
        <is>
          <t>N</t>
        </is>
      </c>
      <c r="L32" s="182" t="n">
        <v>1</v>
      </c>
      <c r="M32" s="371" t="inlineStr">
        <is>
          <t>N</t>
        </is>
      </c>
      <c r="N32" s="368">
        <f>IF(M32="Y",VLOOKUP(J32,'[2]참고. 출장비 단가'!$B$7:$F$13,2,FALSE),VLOOKUP(J32,'[2]참고. 출장비 단가'!$B$7:$F$13,3,FALSE))</f>
        <v/>
      </c>
      <c r="O32" s="368">
        <f>VLOOKUP($J32,'[2]참고. 출장비 단가'!$B$7:$F$13,4,FALSE)</f>
        <v/>
      </c>
      <c r="P32" s="368">
        <f>VLOOKUP($J32,'[2]참고. 출장비 단가'!$B$7:$F$13,5,FALSE)</f>
        <v/>
      </c>
      <c r="Q32" s="368">
        <f>N32*L32</f>
        <v/>
      </c>
      <c r="R32" s="368">
        <f>IF(K32="Y",0,H32*O32)*L32</f>
        <v/>
      </c>
      <c r="S32" s="368">
        <f>IF(I32&lt;15,I32*(P32+'[2]참고. 출장비 단가'!$D$29)*L32,P32*L32*14+(I32-14)*L32*P32*0.8)</f>
        <v/>
      </c>
      <c r="T32" s="372">
        <f>SUM(Q32:S32)</f>
        <v/>
      </c>
      <c r="V32" s="380" t="n">
        <v>10710000</v>
      </c>
      <c r="X32" s="306">
        <f>T32-V32</f>
        <v/>
      </c>
      <c r="Z32" s="373" t="n">
        <v>2</v>
      </c>
      <c r="AB32" s="374" t="n"/>
      <c r="AC32" s="375" t="n"/>
    </row>
    <row r="33">
      <c r="B33" s="368" t="inlineStr">
        <is>
          <t>품질DX</t>
        </is>
      </c>
      <c r="C33" s="371" t="inlineStr">
        <is>
          <t>공정DX팀</t>
        </is>
      </c>
      <c r="D33" s="154" t="inlineStr">
        <is>
          <t>ESWA SPC 노칭 Vision 기인 NG Cell 배출 기능 적용</t>
        </is>
      </c>
      <c r="E33" s="369" t="n">
        <v>4</v>
      </c>
      <c r="F33" s="151" t="n">
        <v>46304</v>
      </c>
      <c r="G33" s="151" t="n">
        <v>46325</v>
      </c>
      <c r="H33" s="370">
        <f>G33-F33</f>
        <v/>
      </c>
      <c r="I33" s="370">
        <f>H33+1</f>
        <v/>
      </c>
      <c r="J33" s="368" t="inlineStr">
        <is>
          <t>폴란드</t>
        </is>
      </c>
      <c r="K33" s="371" t="inlineStr">
        <is>
          <t>N</t>
        </is>
      </c>
      <c r="L33" s="182" t="n">
        <v>1</v>
      </c>
      <c r="M33" s="371" t="inlineStr">
        <is>
          <t>N</t>
        </is>
      </c>
      <c r="N33" s="368">
        <f>IF(M33="Y",VLOOKUP(J33,'[2]참고. 출장비 단가'!$B$7:$F$13,2,FALSE),VLOOKUP(J33,'[2]참고. 출장비 단가'!$B$7:$F$13,3,FALSE))</f>
        <v/>
      </c>
      <c r="O33" s="368">
        <f>VLOOKUP($J33,'[2]참고. 출장비 단가'!$B$7:$F$13,4,FALSE)</f>
        <v/>
      </c>
      <c r="P33" s="368">
        <f>VLOOKUP($J33,'[2]참고. 출장비 단가'!$B$7:$F$13,5,FALSE)</f>
        <v/>
      </c>
      <c r="Q33" s="368">
        <f>N33*L33</f>
        <v/>
      </c>
      <c r="R33" s="368">
        <f>IF(K33="Y",0,H33*O33)*L33</f>
        <v/>
      </c>
      <c r="S33" s="368">
        <f>IF(I33&lt;15,I33*(P33+'[2]참고. 출장비 단가'!$D$29)*L33,P33*L33*14+(I33-14)*L33*P33*0.8)</f>
        <v/>
      </c>
      <c r="T33" s="372">
        <f>SUM(Q33:S33)</f>
        <v/>
      </c>
      <c r="V33" s="368" t="n">
        <v>0</v>
      </c>
      <c r="X33" s="306">
        <f>T33-V33</f>
        <v/>
      </c>
      <c r="Z33" s="373" t="n">
        <v>2</v>
      </c>
      <c r="AB33" s="374" t="n"/>
      <c r="AC33" s="375" t="n"/>
    </row>
    <row r="34">
      <c r="B34" s="368" t="inlineStr">
        <is>
          <t>품질DX</t>
        </is>
      </c>
      <c r="C34" s="371" t="inlineStr">
        <is>
          <t>공정DX팀</t>
        </is>
      </c>
      <c r="D34" s="154" t="inlineStr">
        <is>
          <t>ESAZ PDS-RMS 시스템 구축에 따른 RMS 대응</t>
        </is>
      </c>
      <c r="E34" s="369" t="n">
        <v>4</v>
      </c>
      <c r="F34" s="151" t="n">
        <v>46297</v>
      </c>
      <c r="G34" s="151" t="n">
        <v>46318</v>
      </c>
      <c r="H34" s="370">
        <f>G34-F34</f>
        <v/>
      </c>
      <c r="I34" s="370">
        <f>H34+1</f>
        <v/>
      </c>
      <c r="J34" s="368" t="inlineStr">
        <is>
          <t>미주</t>
        </is>
      </c>
      <c r="K34" s="371" t="inlineStr">
        <is>
          <t>N</t>
        </is>
      </c>
      <c r="L34" s="182" t="n">
        <v>1</v>
      </c>
      <c r="M34" s="371" t="inlineStr">
        <is>
          <t>N</t>
        </is>
      </c>
      <c r="N34" s="368">
        <f>IF(M34="Y",VLOOKUP(J34,'[2]참고. 출장비 단가'!$B$7:$F$13,2,FALSE),VLOOKUP(J34,'[2]참고. 출장비 단가'!$B$7:$F$13,3,FALSE))</f>
        <v/>
      </c>
      <c r="O34" s="368">
        <f>VLOOKUP($J34,'[2]참고. 출장비 단가'!$B$7:$F$13,4,FALSE)</f>
        <v/>
      </c>
      <c r="P34" s="368">
        <f>VLOOKUP($J34,'[2]참고. 출장비 단가'!$B$7:$F$13,5,FALSE)</f>
        <v/>
      </c>
      <c r="Q34" s="368">
        <f>N34*L34</f>
        <v/>
      </c>
      <c r="R34" s="368">
        <f>IF(K34="Y",0,H34*O34)*L34</f>
        <v/>
      </c>
      <c r="S34" s="368">
        <f>IF(I34&lt;15,I34*(P34+'[2]참고. 출장비 단가'!$D$29)*L34,P34*L34*14+(I34-14)*L34*P34*0.8)</f>
        <v/>
      </c>
      <c r="T34" s="372">
        <f>SUM(Q34:S34)</f>
        <v/>
      </c>
      <c r="V34" s="368" t="n">
        <v>12260000</v>
      </c>
      <c r="X34" s="306">
        <f>T34-V34</f>
        <v/>
      </c>
      <c r="Z34" s="373" t="n">
        <v>2</v>
      </c>
      <c r="AB34" s="374" t="n"/>
      <c r="AC34" s="375" t="n"/>
    </row>
    <row r="35">
      <c r="B35" s="368" t="inlineStr">
        <is>
          <t>품질DX</t>
        </is>
      </c>
      <c r="C35" s="371" t="inlineStr">
        <is>
          <t>DAVINCI팀</t>
        </is>
      </c>
      <c r="D35" s="154" t="inlineStr">
        <is>
          <t>AZ법인 다빈치 오픈 및 활성화 대응</t>
        </is>
      </c>
      <c r="E35" s="369" t="n">
        <v>3</v>
      </c>
      <c r="F35" s="151" t="n">
        <v>46242</v>
      </c>
      <c r="G35" s="151" t="n">
        <v>46262</v>
      </c>
      <c r="H35" s="370">
        <f>G35-F35</f>
        <v/>
      </c>
      <c r="I35" s="370">
        <f>H35+1</f>
        <v/>
      </c>
      <c r="J35" s="368" t="inlineStr">
        <is>
          <t>미주</t>
        </is>
      </c>
      <c r="K35" s="371" t="inlineStr">
        <is>
          <t>N</t>
        </is>
      </c>
      <c r="L35" s="182" t="n">
        <v>1</v>
      </c>
      <c r="M35" s="371" t="inlineStr">
        <is>
          <t>N</t>
        </is>
      </c>
      <c r="N35" s="368">
        <f>IF(M35="Y",VLOOKUP(J35,'[2]참고. 출장비 단가'!$B$7:$F$13,2,FALSE),VLOOKUP(J35,'[2]참고. 출장비 단가'!$B$7:$F$13,3,FALSE))</f>
        <v/>
      </c>
      <c r="O35" s="368">
        <f>VLOOKUP($J35,'[2]참고. 출장비 단가'!$B$7:$F$13,4,FALSE)</f>
        <v/>
      </c>
      <c r="P35" s="368">
        <f>VLOOKUP($J35,'[2]참고. 출장비 단가'!$B$7:$F$13,5,FALSE)</f>
        <v/>
      </c>
      <c r="Q35" s="368">
        <f>N35*L35</f>
        <v/>
      </c>
      <c r="R35" s="368">
        <f>IF(K35="Y",0,H35*O35)*L35</f>
        <v/>
      </c>
      <c r="S35" s="368">
        <f>IF(I35&lt;15,I35*(P35+'[2]참고. 출장비 단가'!$D$29)*L35,P35*L35*14+(I35-14)*L35*P35*0.8)</f>
        <v/>
      </c>
      <c r="T35" s="372">
        <f>SUM(Q35:S35)</f>
        <v/>
      </c>
      <c r="V35" s="368" t="n">
        <v>11940000</v>
      </c>
      <c r="X35" s="306">
        <f>T35-V35</f>
        <v/>
      </c>
      <c r="Z35" s="373" t="n">
        <v>2</v>
      </c>
      <c r="AB35" s="374" t="n"/>
      <c r="AC35" s="375" t="n"/>
    </row>
    <row r="36">
      <c r="B36" s="368" t="inlineStr">
        <is>
          <t>품질DX</t>
        </is>
      </c>
      <c r="C36" s="371" t="inlineStr">
        <is>
          <t>DAVINCI팀</t>
        </is>
      </c>
      <c r="D36" s="154" t="inlineStr">
        <is>
          <t>북미 ESS생산 법인 워크플로우 활용 및 분석 지원(MI/MIL/HD)</t>
        </is>
      </c>
      <c r="E36" s="369" t="n">
        <v>4</v>
      </c>
      <c r="F36" s="151" t="n">
        <v>46301</v>
      </c>
      <c r="G36" s="151" t="n">
        <v>46331</v>
      </c>
      <c r="H36" s="370">
        <f>G36-F36</f>
        <v/>
      </c>
      <c r="I36" s="370">
        <f>H36+1</f>
        <v/>
      </c>
      <c r="J36" s="368" t="inlineStr">
        <is>
          <t>미주</t>
        </is>
      </c>
      <c r="K36" s="371" t="inlineStr">
        <is>
          <t>N</t>
        </is>
      </c>
      <c r="L36" s="182" t="n">
        <v>2</v>
      </c>
      <c r="M36" s="371" t="inlineStr">
        <is>
          <t>N</t>
        </is>
      </c>
      <c r="N36" s="368">
        <f>IF(M36="Y",VLOOKUP(J36,'[2]참고. 출장비 단가'!$B$7:$F$13,2,FALSE),VLOOKUP(J36,'[2]참고. 출장비 단가'!$B$7:$F$13,3,FALSE))</f>
        <v/>
      </c>
      <c r="O36" s="368">
        <f>VLOOKUP($J36,'[2]참고. 출장비 단가'!$B$7:$F$13,4,FALSE)</f>
        <v/>
      </c>
      <c r="P36" s="368">
        <f>VLOOKUP($J36,'[2]참고. 출장비 단가'!$B$7:$F$13,5,FALSE)</f>
        <v/>
      </c>
      <c r="Q36" s="368">
        <f>N36*L36</f>
        <v/>
      </c>
      <c r="R36" s="368">
        <f>IF(K36="Y",0,H36*O36)*L36</f>
        <v/>
      </c>
      <c r="S36" s="368">
        <f>IF(I36&lt;15,I36*(P36+'[2]참고. 출장비 단가'!$D$29)*L36,P36*L36*14+(I36-14)*L36*P36*0.8)</f>
        <v/>
      </c>
      <c r="T36" s="372">
        <f>SUM(Q36:S36)</f>
        <v/>
      </c>
      <c r="V36" s="368" t="n">
        <v>0</v>
      </c>
      <c r="X36" s="306">
        <f>T36-V36</f>
        <v/>
      </c>
      <c r="Z36" s="373" t="n">
        <v>2</v>
      </c>
      <c r="AB36" s="374" t="n"/>
      <c r="AC36" s="375" t="n"/>
    </row>
    <row r="37">
      <c r="B37" s="368" t="inlineStr">
        <is>
          <t>품질DX</t>
        </is>
      </c>
      <c r="C37" s="371" t="inlineStr">
        <is>
          <t>DAVINCI팀</t>
        </is>
      </c>
      <c r="D37" s="154" t="inlineStr">
        <is>
          <t>중국 법인 워크플로우 활용 및 Painpoint 개선(NB/NJ/NA)</t>
        </is>
      </c>
      <c r="E37" s="369" t="n">
        <v>3</v>
      </c>
      <c r="F37" s="151" t="n">
        <v>46272</v>
      </c>
      <c r="G37" s="151" t="n">
        <v>46300</v>
      </c>
      <c r="H37" s="370">
        <f>G37-F37</f>
        <v/>
      </c>
      <c r="I37" s="370">
        <f>H37+1</f>
        <v/>
      </c>
      <c r="J37" s="368" t="inlineStr">
        <is>
          <t>중국</t>
        </is>
      </c>
      <c r="K37" s="371" t="inlineStr">
        <is>
          <t>N</t>
        </is>
      </c>
      <c r="L37" s="182" t="n">
        <v>2</v>
      </c>
      <c r="M37" s="371" t="inlineStr">
        <is>
          <t>N</t>
        </is>
      </c>
      <c r="N37" s="368">
        <f>IF(M37="Y",VLOOKUP(J37,'[2]참고. 출장비 단가'!$B$7:$F$13,2,FALSE),VLOOKUP(J37,'[2]참고. 출장비 단가'!$B$7:$F$13,3,FALSE))</f>
        <v/>
      </c>
      <c r="O37" s="368">
        <f>VLOOKUP($J37,'[2]참고. 출장비 단가'!$B$7:$F$13,4,FALSE)</f>
        <v/>
      </c>
      <c r="P37" s="368">
        <f>VLOOKUP($J37,'[2]참고. 출장비 단가'!$B$7:$F$13,5,FALSE)</f>
        <v/>
      </c>
      <c r="Q37" s="368">
        <f>N37*L37</f>
        <v/>
      </c>
      <c r="R37" s="368">
        <f>IF(K37="Y",0,H37*O37)*L37</f>
        <v/>
      </c>
      <c r="S37" s="368">
        <f>IF(I37&lt;15,I37*(P37+'[2]참고. 출장비 단가'!$D$29)*L37,P37*L37*14+(I37-14)*L37*P37*0.8)</f>
        <v/>
      </c>
      <c r="T37" s="372">
        <f>SUM(Q37:S37)</f>
        <v/>
      </c>
      <c r="V37" s="368" t="n">
        <v>0</v>
      </c>
      <c r="X37" s="306">
        <f>T37-V37</f>
        <v/>
      </c>
      <c r="Z37" s="373" t="n">
        <v>2</v>
      </c>
      <c r="AB37" s="374" t="n"/>
      <c r="AC37" s="375" t="n"/>
    </row>
    <row r="38">
      <c r="B38" s="368" t="inlineStr">
        <is>
          <t>제조DX솔루션</t>
        </is>
      </c>
      <c r="C38" s="371" t="inlineStr">
        <is>
          <t>제조빅데이터분석1팀</t>
        </is>
      </c>
      <c r="D38" s="154" t="inlineStr">
        <is>
          <t>ESWA법인 '26년 셀수율 안정화</t>
        </is>
      </c>
      <c r="E38" s="369" t="n">
        <v>4</v>
      </c>
      <c r="F38" s="151" t="n">
        <v>46304</v>
      </c>
      <c r="G38" s="151" t="n">
        <v>46339</v>
      </c>
      <c r="H38" s="370">
        <f>G38-F38</f>
        <v/>
      </c>
      <c r="I38" s="370">
        <f>H38+1</f>
        <v/>
      </c>
      <c r="J38" s="368" t="inlineStr">
        <is>
          <t>폴란드</t>
        </is>
      </c>
      <c r="K38" s="371" t="inlineStr">
        <is>
          <t>N</t>
        </is>
      </c>
      <c r="L38" s="182" t="n">
        <v>3</v>
      </c>
      <c r="M38" s="371" t="inlineStr">
        <is>
          <t>N</t>
        </is>
      </c>
      <c r="N38" s="368">
        <f>IF(M38="Y",VLOOKUP(J38,'[2]참고. 출장비 단가'!$B$7:$F$13,2,FALSE),VLOOKUP(J38,'[2]참고. 출장비 단가'!$B$7:$F$13,3,FALSE))</f>
        <v/>
      </c>
      <c r="O38" s="368">
        <f>VLOOKUP($J38,'[2]참고. 출장비 단가'!$B$7:$F$13,4,FALSE)</f>
        <v/>
      </c>
      <c r="P38" s="368">
        <f>VLOOKUP($J38,'[2]참고. 출장비 단가'!$B$7:$F$13,5,FALSE)</f>
        <v/>
      </c>
      <c r="Q38" s="368">
        <f>N38*L38</f>
        <v/>
      </c>
      <c r="R38" s="368">
        <f>IF(K38="Y",0,H38*O38)*L38</f>
        <v/>
      </c>
      <c r="S38" s="368">
        <f>IF(I38&lt;15,I38*(P38+'[2]참고. 출장비 단가'!$D$29)*L38,P38*L38*14+(I38-14)*L38*P38*0.8)</f>
        <v/>
      </c>
      <c r="T38" s="372">
        <f>SUM(Q38:S38)</f>
        <v/>
      </c>
      <c r="V38" s="368" t="n"/>
      <c r="X38" s="306">
        <f>T38-V38</f>
        <v/>
      </c>
      <c r="Z38" s="373" t="n">
        <v>2</v>
      </c>
      <c r="AB38" s="374" t="n"/>
      <c r="AC38" s="375" t="n"/>
    </row>
    <row r="39">
      <c r="B39" s="368" t="inlineStr">
        <is>
          <t>제조DX솔루션</t>
        </is>
      </c>
      <c r="C39" s="371" t="inlineStr">
        <is>
          <t>제조빅데이터분석1팀</t>
        </is>
      </c>
      <c r="D39" s="154" t="inlineStr">
        <is>
          <t>ESWA법인 '26년 셀수율 안정화</t>
        </is>
      </c>
      <c r="E39" s="369" t="n">
        <v>3</v>
      </c>
      <c r="F39" s="151" t="n">
        <v>46255</v>
      </c>
      <c r="G39" s="151" t="n">
        <v>46297</v>
      </c>
      <c r="H39" s="370">
        <f>G39-F39</f>
        <v/>
      </c>
      <c r="I39" s="370">
        <f>H39+1</f>
        <v/>
      </c>
      <c r="J39" s="368" t="inlineStr">
        <is>
          <t>폴란드</t>
        </is>
      </c>
      <c r="K39" s="371" t="inlineStr">
        <is>
          <t>N</t>
        </is>
      </c>
      <c r="L39" s="182" t="n">
        <v>3</v>
      </c>
      <c r="M39" s="371" t="inlineStr">
        <is>
          <t>N</t>
        </is>
      </c>
      <c r="N39" s="368">
        <f>IF(M39="Y",VLOOKUP(J39,'[2]참고. 출장비 단가'!$B$7:$F$13,2,FALSE),VLOOKUP(J39,'[2]참고. 출장비 단가'!$B$7:$F$13,3,FALSE))</f>
        <v/>
      </c>
      <c r="O39" s="368">
        <f>VLOOKUP($J39,'[2]참고. 출장비 단가'!$B$7:$F$13,4,FALSE)</f>
        <v/>
      </c>
      <c r="P39" s="368">
        <f>VLOOKUP($J39,'[2]참고. 출장비 단가'!$B$7:$F$13,5,FALSE)</f>
        <v/>
      </c>
      <c r="Q39" s="368">
        <f>N39*L39</f>
        <v/>
      </c>
      <c r="R39" s="368">
        <f>IF(K39="Y",0,H39*O39)*L39</f>
        <v/>
      </c>
      <c r="S39" s="368">
        <f>IF(I39&lt;15,I39*(P39+'[2]참고. 출장비 단가'!$D$29)*L39,P39*L39*14+(I39-14)*L39*P39*0.8)</f>
        <v/>
      </c>
      <c r="T39" s="372">
        <f>SUM(Q39:S39)</f>
        <v/>
      </c>
      <c r="V39" s="368" t="n">
        <v>0</v>
      </c>
      <c r="X39" s="306">
        <f>T39-V39</f>
        <v/>
      </c>
      <c r="Z39" s="373" t="n">
        <v>2</v>
      </c>
      <c r="AB39" s="374" t="n"/>
      <c r="AC39" s="375" t="n"/>
    </row>
    <row r="40">
      <c r="B40" s="368" t="inlineStr">
        <is>
          <t>제조DX솔루션</t>
        </is>
      </c>
      <c r="C40" s="371" t="inlineStr">
        <is>
          <t>제조빅데이터분석2팀</t>
        </is>
      </c>
      <c r="D40" s="149" t="inlineStr">
        <is>
          <t>ESMI법인 '26년 셀수율 안정화 지원</t>
        </is>
      </c>
      <c r="E40" s="369" t="n">
        <v>4</v>
      </c>
      <c r="F40" s="151" t="n">
        <v>46297</v>
      </c>
      <c r="G40" s="151" t="n">
        <v>46332</v>
      </c>
      <c r="H40" s="370">
        <f>G40-F40</f>
        <v/>
      </c>
      <c r="I40" s="370">
        <f>H40+1</f>
        <v/>
      </c>
      <c r="J40" s="368" t="inlineStr">
        <is>
          <t>미주</t>
        </is>
      </c>
      <c r="K40" s="371" t="inlineStr">
        <is>
          <t>N</t>
        </is>
      </c>
      <c r="L40" s="182" t="n">
        <v>2</v>
      </c>
      <c r="M40" s="371" t="inlineStr">
        <is>
          <t>N</t>
        </is>
      </c>
      <c r="N40" s="368">
        <f>IF(M40="Y",VLOOKUP(J40,'[2]참고. 출장비 단가'!$B$7:$F$13,2,FALSE),VLOOKUP(J40,'[2]참고. 출장비 단가'!$B$7:$F$13,3,FALSE))</f>
        <v/>
      </c>
      <c r="O40" s="368">
        <f>VLOOKUP($J40,'[2]참고. 출장비 단가'!$B$7:$F$13,4,FALSE)</f>
        <v/>
      </c>
      <c r="P40" s="368">
        <f>VLOOKUP($J40,'[2]참고. 출장비 단가'!$B$7:$F$13,5,FALSE)</f>
        <v/>
      </c>
      <c r="Q40" s="368">
        <f>N40*L40</f>
        <v/>
      </c>
      <c r="R40" s="368">
        <f>IF(K40="Y",0,H40*O40)*L40</f>
        <v/>
      </c>
      <c r="S40" s="368">
        <f>IF(I40&lt;15,I40*(P40+'[2]참고. 출장비 단가'!$D$29)*L40,P40*L40*14+(I40-14)*L40*P40*0.8)</f>
        <v/>
      </c>
      <c r="T40" s="372">
        <f>SUM(Q40:S40)</f>
        <v/>
      </c>
      <c r="U40" s="352" t="n"/>
      <c r="V40" s="368" t="n">
        <v>0</v>
      </c>
      <c r="X40" s="306">
        <f>T40-V40</f>
        <v/>
      </c>
      <c r="Z40" s="373" t="n">
        <v>2</v>
      </c>
      <c r="AB40" s="374" t="n"/>
      <c r="AC40" s="375" t="n"/>
    </row>
    <row r="41">
      <c r="B41" s="368" t="inlineStr">
        <is>
          <t>FDC DX</t>
        </is>
      </c>
      <c r="C41" s="371" t="inlineStr">
        <is>
          <t>원통형조립FDC팀</t>
        </is>
      </c>
      <c r="D41" s="154" t="inlineStr">
        <is>
          <t>ESAZ 양산 조기 안정화 지원</t>
        </is>
      </c>
      <c r="E41" s="369" t="n">
        <v>4</v>
      </c>
      <c r="F41" s="151" t="n">
        <v>46327</v>
      </c>
      <c r="G41" s="151" t="n">
        <v>46356</v>
      </c>
      <c r="H41" s="370">
        <f>G41-F41</f>
        <v/>
      </c>
      <c r="I41" s="370">
        <f>H41+1</f>
        <v/>
      </c>
      <c r="J41" s="368" t="inlineStr">
        <is>
          <t>미주</t>
        </is>
      </c>
      <c r="K41" s="371" t="inlineStr">
        <is>
          <t>N</t>
        </is>
      </c>
      <c r="L41" s="182" t="n">
        <v>3</v>
      </c>
      <c r="M41" s="371" t="inlineStr">
        <is>
          <t>N</t>
        </is>
      </c>
      <c r="N41" s="368">
        <f>IF(M41="Y",VLOOKUP(J41,'[2]참고. 출장비 단가'!$B$7:$F$13,2,FALSE),VLOOKUP(J41,'[2]참고. 출장비 단가'!$B$7:$F$13,3,FALSE))</f>
        <v/>
      </c>
      <c r="O41" s="368">
        <f>VLOOKUP($J41,'[2]참고. 출장비 단가'!$B$7:$F$13,4,FALSE)</f>
        <v/>
      </c>
      <c r="P41" s="368">
        <f>VLOOKUP($J41,'[2]참고. 출장비 단가'!$B$7:$F$13,5,FALSE)</f>
        <v/>
      </c>
      <c r="Q41" s="368">
        <f>N41*L41</f>
        <v/>
      </c>
      <c r="R41" s="368">
        <f>IF(K41="Y",0,H41*O41)*L41</f>
        <v/>
      </c>
      <c r="S41" s="368">
        <f>IF(I41&lt;15,I41*(P41+'[2]참고. 출장비 단가'!$D$29)*L41,P41*L41*14+(I41-14)*L41*P41*0.8)</f>
        <v/>
      </c>
      <c r="T41" s="372">
        <f>SUM(Q41:S41)</f>
        <v/>
      </c>
      <c r="V41" s="368" t="n">
        <v>0</v>
      </c>
      <c r="X41" s="306">
        <f>T41-V41</f>
        <v/>
      </c>
      <c r="Z41" s="373" t="n">
        <v>2</v>
      </c>
      <c r="AB41" s="374" t="n"/>
      <c r="AC41" s="375" t="n"/>
    </row>
    <row r="42">
      <c r="B42" s="368" t="inlineStr">
        <is>
          <t>FDC DX</t>
        </is>
      </c>
      <c r="C42" s="166" t="inlineStr">
        <is>
          <t>원통형조립FDC팀</t>
        </is>
      </c>
      <c r="D42" s="154" t="inlineStr">
        <is>
          <t>ESNJ법인 '26년 DX 추진과제 확대호기 양산 검증 운영 및 인프라 점검</t>
        </is>
      </c>
      <c r="E42" s="369" t="n">
        <v>3</v>
      </c>
      <c r="F42" s="151" t="n">
        <v>46265</v>
      </c>
      <c r="G42" s="151" t="n">
        <v>46276</v>
      </c>
      <c r="H42" s="370">
        <f>G42-F42</f>
        <v/>
      </c>
      <c r="I42" s="370">
        <f>H42+1</f>
        <v/>
      </c>
      <c r="J42" s="368" t="inlineStr">
        <is>
          <t>중국</t>
        </is>
      </c>
      <c r="K42" s="371" t="inlineStr">
        <is>
          <t>N</t>
        </is>
      </c>
      <c r="L42" s="182" t="n">
        <v>2</v>
      </c>
      <c r="M42" s="371" t="inlineStr">
        <is>
          <t>N</t>
        </is>
      </c>
      <c r="N42" s="368">
        <f>IF(M42="Y",VLOOKUP(J42,'[2]참고. 출장비 단가'!$B$7:$F$13,2,FALSE),VLOOKUP(J42,'[2]참고. 출장비 단가'!$B$7:$F$13,3,FALSE))</f>
        <v/>
      </c>
      <c r="O42" s="368">
        <f>VLOOKUP($J42,'[2]참고. 출장비 단가'!$B$7:$F$13,4,FALSE)</f>
        <v/>
      </c>
      <c r="P42" s="368">
        <f>VLOOKUP($J42,'[2]참고. 출장비 단가'!$B$7:$F$13,5,FALSE)</f>
        <v/>
      </c>
      <c r="Q42" s="368">
        <f>N42*L42</f>
        <v/>
      </c>
      <c r="R42" s="368">
        <f>IF(K42="Y",0,H42*O42)*L42</f>
        <v/>
      </c>
      <c r="S42" s="368">
        <f>IF(I42&lt;15,I42*(P42+'[2]참고. 출장비 단가'!$D$29)*L42,P42*L42*14+(I42-14)*L42*P42*0.8)</f>
        <v/>
      </c>
      <c r="T42" s="372">
        <f>SUM(Q42:S42)</f>
        <v/>
      </c>
      <c r="V42" s="368" t="n">
        <v>0</v>
      </c>
      <c r="X42" s="306">
        <f>T42-V42</f>
        <v/>
      </c>
      <c r="Z42" s="373" t="n">
        <v>2</v>
      </c>
      <c r="AB42" s="374" t="n"/>
      <c r="AC42" s="375" t="n"/>
    </row>
    <row r="43">
      <c r="B43" s="368" t="inlineStr">
        <is>
          <t>FDC DX</t>
        </is>
      </c>
      <c r="C43" s="161" t="inlineStr">
        <is>
          <t>전극FDC팀</t>
        </is>
      </c>
      <c r="D43" s="162" t="inlineStr">
        <is>
          <t xml:space="preserve">ESOT법인 '26년 롤프레스 단선 추가 개선 및 FDC기반 CBM화 검토 </t>
        </is>
      </c>
      <c r="E43" s="369" t="n">
        <v>3</v>
      </c>
      <c r="F43" s="151" t="n">
        <v>46249</v>
      </c>
      <c r="G43" s="151" t="n">
        <v>46277</v>
      </c>
      <c r="H43" s="370">
        <f>G43-F43</f>
        <v/>
      </c>
      <c r="I43" s="370">
        <f>H43+1</f>
        <v/>
      </c>
      <c r="J43" s="368" t="inlineStr">
        <is>
          <t>미주</t>
        </is>
      </c>
      <c r="K43" s="161" t="inlineStr">
        <is>
          <t xml:space="preserve"> N </t>
        </is>
      </c>
      <c r="L43" s="161" t="n">
        <v>2</v>
      </c>
      <c r="M43" s="371" t="inlineStr">
        <is>
          <t>N</t>
        </is>
      </c>
      <c r="N43" s="368">
        <f>IF(M43="Y",VLOOKUP(J43,'[3]참고. 출장비 단가'!$B$7:$F$13,2,FALSE),VLOOKUP(J43,'[3]참고. 출장비 단가'!$B$7:$F$13,3,FALSE))</f>
        <v/>
      </c>
      <c r="O43" s="368">
        <f>VLOOKUP($J43,'[3]참고. 출장비 단가'!$B$7:$F$13,4,FALSE)</f>
        <v/>
      </c>
      <c r="P43" s="368">
        <f>VLOOKUP($J43,'[3]참고. 출장비 단가'!$B$7:$F$13,5,FALSE)</f>
        <v/>
      </c>
      <c r="Q43" s="368">
        <f>N43*L43</f>
        <v/>
      </c>
      <c r="R43" s="368">
        <f>IF(K43="Y",0,H43*O43)*L43</f>
        <v/>
      </c>
      <c r="S43" s="368">
        <f>IF(I43&lt;15,I43*(P43+'[3]참고. 출장비 단가'!$D$29)*L43,P43*L43*14+(I43-14)*L43*P43*0.8)</f>
        <v/>
      </c>
      <c r="T43" s="372">
        <f>SUM(Q43:S43)</f>
        <v/>
      </c>
      <c r="V43" s="368" t="n">
        <v>0</v>
      </c>
      <c r="X43" s="306">
        <f>T43-V43</f>
        <v/>
      </c>
      <c r="Z43" s="373" t="n">
        <v>2</v>
      </c>
      <c r="AB43" s="374" t="n"/>
      <c r="AC43" s="375" t="n"/>
      <c r="AI43" s="325" t="n">
        <v>0</v>
      </c>
    </row>
    <row r="44">
      <c r="B44" s="368" t="inlineStr">
        <is>
          <t>FDC DX</t>
        </is>
      </c>
      <c r="C44" s="161" t="inlineStr">
        <is>
          <t>전극FDC팀</t>
        </is>
      </c>
      <c r="D44" s="162" t="inlineStr">
        <is>
          <t>ESNB법인 믹서이상감지 고해상도 레퍼런스 체크 및 W/O 운형 현황 점검 및 ESNJ법인 믹서이상감지 신규 적용 지원 및 커스터마이징</t>
        </is>
      </c>
      <c r="E44" s="369" t="n">
        <v>4</v>
      </c>
      <c r="F44" s="151" t="n">
        <v>46306</v>
      </c>
      <c r="G44" s="151" t="n">
        <v>46326</v>
      </c>
      <c r="H44" s="370">
        <f>G44-F44</f>
        <v/>
      </c>
      <c r="I44" s="370">
        <f>H44+1</f>
        <v/>
      </c>
      <c r="J44" s="368" t="inlineStr">
        <is>
          <t>중국</t>
        </is>
      </c>
      <c r="K44" s="161" t="inlineStr">
        <is>
          <t>N</t>
        </is>
      </c>
      <c r="L44" s="161" t="n">
        <v>2</v>
      </c>
      <c r="M44" s="371" t="inlineStr">
        <is>
          <t>N</t>
        </is>
      </c>
      <c r="N44" s="368">
        <f>IF(M44="Y",VLOOKUP(J44,'[3]참고. 출장비 단가'!$B$7:$F$13,2,FALSE),VLOOKUP(J44,'[3]참고. 출장비 단가'!$B$7:$F$13,3,FALSE))</f>
        <v/>
      </c>
      <c r="O44" s="368">
        <f>VLOOKUP($J44,'[3]참고. 출장비 단가'!$B$7:$F$13,4,FALSE)</f>
        <v/>
      </c>
      <c r="P44" s="368">
        <f>VLOOKUP($J44,'[3]참고. 출장비 단가'!$B$7:$F$13,5,FALSE)</f>
        <v/>
      </c>
      <c r="Q44" s="368">
        <f>N44*L44</f>
        <v/>
      </c>
      <c r="R44" s="368">
        <f>IF(K44="Y",0,H44*O44)*L44</f>
        <v/>
      </c>
      <c r="S44" s="368">
        <f>IF(I44&lt;15,I44*(P44+'[3]참고. 출장비 단가'!$D$29)*L44,P44*L44*14+(I44-14)*L44*P44*0.8)</f>
        <v/>
      </c>
      <c r="T44" s="372">
        <f>SUM(Q44:S44)</f>
        <v/>
      </c>
      <c r="V44" s="368" t="n">
        <v>0</v>
      </c>
      <c r="X44" s="306">
        <f>T44-V44</f>
        <v/>
      </c>
      <c r="Z44" s="373" t="n">
        <v>2</v>
      </c>
      <c r="AB44" s="374" t="n"/>
      <c r="AC44" s="375" t="n"/>
    </row>
    <row r="45">
      <c r="B45" s="368" t="inlineStr">
        <is>
          <t>FDC DX</t>
        </is>
      </c>
      <c r="C45" s="161" t="inlineStr">
        <is>
          <t>전극FDC팀</t>
        </is>
      </c>
      <c r="D45" s="162" t="inlineStr">
        <is>
          <t xml:space="preserve">ESGM2/HD법인  DX 추진과제 법인 확대 </t>
        </is>
      </c>
      <c r="E45" s="377" t="n">
        <v>4</v>
      </c>
      <c r="F45" s="151" t="n">
        <v>46296</v>
      </c>
      <c r="G45" s="151" t="n">
        <v>46341</v>
      </c>
      <c r="H45" s="370">
        <f>G45-F45</f>
        <v/>
      </c>
      <c r="I45" s="370">
        <f>H45+1</f>
        <v/>
      </c>
      <c r="J45" s="368" t="inlineStr">
        <is>
          <t>미주</t>
        </is>
      </c>
      <c r="K45" s="161" t="inlineStr">
        <is>
          <t xml:space="preserve"> N </t>
        </is>
      </c>
      <c r="L45" s="161" t="n">
        <v>2</v>
      </c>
      <c r="M45" s="371" t="inlineStr">
        <is>
          <t>N</t>
        </is>
      </c>
      <c r="N45" s="368">
        <f>IF(M45="Y",VLOOKUP(J45,'[3]참고. 출장비 단가'!$B$7:$F$13,2,FALSE),VLOOKUP(J45,'[3]참고. 출장비 단가'!$B$7:$F$13,3,FALSE))</f>
        <v/>
      </c>
      <c r="O45" s="368">
        <f>VLOOKUP($J45,'[3]참고. 출장비 단가'!$B$7:$F$13,4,FALSE)</f>
        <v/>
      </c>
      <c r="P45" s="368">
        <f>VLOOKUP($J45,'[3]참고. 출장비 단가'!$B$7:$F$13,5,FALSE)</f>
        <v/>
      </c>
      <c r="Q45" s="368">
        <f>N45*L45</f>
        <v/>
      </c>
      <c r="R45" s="368">
        <f>IF(K45="Y",0,H45*O45)*L45</f>
        <v/>
      </c>
      <c r="S45" s="368">
        <f>IF(I45&lt;15,I45*(P45+'[3]참고. 출장비 단가'!$D$29)*L45,P45*L45*14+(I45-14)*L45*P45*0.8)</f>
        <v/>
      </c>
      <c r="T45" s="372">
        <f>SUM(Q45:S45)</f>
        <v/>
      </c>
      <c r="V45" s="368" t="n">
        <v>0</v>
      </c>
      <c r="X45" s="306">
        <f>T45-V45</f>
        <v/>
      </c>
      <c r="Z45" s="373" t="n">
        <v>2</v>
      </c>
      <c r="AB45" s="374" t="n"/>
      <c r="AC45" s="375" t="n"/>
    </row>
    <row r="46">
      <c r="B46" s="368" t="inlineStr">
        <is>
          <t>FDC DX</t>
        </is>
      </c>
      <c r="C46" s="166" t="inlineStr">
        <is>
          <t>조립FDC팀</t>
        </is>
      </c>
      <c r="D46" s="149" t="inlineStr">
        <is>
          <t>ESMI L&amp;S '26년 DX 추진과제 FDC 운영 협의 및 개선 활동 추진</t>
        </is>
      </c>
      <c r="E46" s="377" t="n">
        <v>3</v>
      </c>
      <c r="F46" s="151" t="n">
        <v>46255</v>
      </c>
      <c r="G46" s="151" t="n">
        <v>46283</v>
      </c>
      <c r="H46" s="370">
        <f>G46-F46</f>
        <v/>
      </c>
      <c r="I46" s="370">
        <f>H46+1</f>
        <v/>
      </c>
      <c r="J46" s="368" t="inlineStr">
        <is>
          <t>미주</t>
        </is>
      </c>
      <c r="K46" s="371" t="inlineStr">
        <is>
          <t>N</t>
        </is>
      </c>
      <c r="L46" s="182" t="n">
        <v>2</v>
      </c>
      <c r="M46" s="371" t="inlineStr">
        <is>
          <t>N</t>
        </is>
      </c>
      <c r="N46" s="368">
        <f>IF(M46="Y",VLOOKUP(J46,'[2]참고. 출장비 단가'!$B$7:$F$13,2,FALSE),VLOOKUP(J46,'[2]참고. 출장비 단가'!$B$7:$F$13,3,FALSE))</f>
        <v/>
      </c>
      <c r="O46" s="368">
        <f>VLOOKUP($J46,'[2]참고. 출장비 단가'!$B$7:$F$13,4,FALSE)</f>
        <v/>
      </c>
      <c r="P46" s="368">
        <f>VLOOKUP($J46,'[2]참고. 출장비 단가'!$B$7:$F$13,5,FALSE)</f>
        <v/>
      </c>
      <c r="Q46" s="368">
        <f>N46*L46</f>
        <v/>
      </c>
      <c r="R46" s="368">
        <f>IF(K46="Y",0,H46*O46)*L46</f>
        <v/>
      </c>
      <c r="S46" s="368">
        <f>IF(I46&lt;15,I46*(P46+'[2]참고. 출장비 단가'!$D$29)*L46,P46*L46*14+(I46-14)*L46*P46*0.8)</f>
        <v/>
      </c>
      <c r="T46" s="372">
        <f>SUM(Q46:S46)</f>
        <v/>
      </c>
      <c r="V46" s="368" t="n">
        <v>0</v>
      </c>
      <c r="X46" s="306">
        <f>T46-V46</f>
        <v/>
      </c>
      <c r="Z46" s="373" t="n">
        <v>2</v>
      </c>
      <c r="AB46" s="374" t="n"/>
      <c r="AC46" s="375" t="n"/>
    </row>
    <row r="47">
      <c r="B47" s="368" t="inlineStr">
        <is>
          <t>FDC DX</t>
        </is>
      </c>
      <c r="C47" s="166" t="inlineStr">
        <is>
          <t>조립FDC팀</t>
        </is>
      </c>
      <c r="D47" s="154" t="inlineStr">
        <is>
          <t>ESWA법인 '26년 DX 추진과제 및 라미 컷터 이상감지 고도화 개선 활동 추진</t>
        </is>
      </c>
      <c r="E47" s="377" t="n">
        <v>3</v>
      </c>
      <c r="F47" s="177" t="n">
        <v>46262</v>
      </c>
      <c r="G47" s="177" t="n">
        <v>46290</v>
      </c>
      <c r="H47" s="370">
        <f>G47-F47</f>
        <v/>
      </c>
      <c r="I47" s="370">
        <f>H47+1</f>
        <v/>
      </c>
      <c r="J47" s="368" t="inlineStr">
        <is>
          <t>폴란드</t>
        </is>
      </c>
      <c r="K47" s="371" t="inlineStr">
        <is>
          <t>N</t>
        </is>
      </c>
      <c r="L47" s="182" t="n">
        <v>2</v>
      </c>
      <c r="M47" s="371" t="inlineStr">
        <is>
          <t>N</t>
        </is>
      </c>
      <c r="N47" s="368">
        <f>IF(M47="Y",VLOOKUP(J47,'[2]참고. 출장비 단가'!$B$7:$F$13,2,FALSE),VLOOKUP(J47,'[2]참고. 출장비 단가'!$B$7:$F$13,3,FALSE))</f>
        <v/>
      </c>
      <c r="O47" s="368">
        <f>VLOOKUP($J47,'[2]참고. 출장비 단가'!$B$7:$F$13,4,FALSE)</f>
        <v/>
      </c>
      <c r="P47" s="368">
        <f>VLOOKUP($J47,'[2]참고. 출장비 단가'!$B$7:$F$13,5,FALSE)</f>
        <v/>
      </c>
      <c r="Q47" s="368">
        <f>N47*L47</f>
        <v/>
      </c>
      <c r="R47" s="368">
        <f>IF(K47="Y",0,H47*O47)*L47</f>
        <v/>
      </c>
      <c r="S47" s="368">
        <f>IF(I47&lt;15,I47*(P47+'[2]참고. 출장비 단가'!$D$29)*L47,P47*L47*14+(I47-14)*L47*P47*0.8)</f>
        <v/>
      </c>
      <c r="T47" s="372">
        <f>SUM(Q47:S47)</f>
        <v/>
      </c>
      <c r="V47" s="368" t="n">
        <v>0</v>
      </c>
      <c r="X47" s="306">
        <f>T47-V47</f>
        <v/>
      </c>
      <c r="Z47" s="373" t="n">
        <v>2</v>
      </c>
      <c r="AB47" s="374" t="n"/>
      <c r="AC47" s="375" t="n"/>
    </row>
    <row r="48">
      <c r="A48" s="178" t="n"/>
      <c r="B48" s="179" t="inlineStr">
        <is>
          <t>FDC DX</t>
        </is>
      </c>
      <c r="C48" s="180" t="inlineStr">
        <is>
          <t>조립FDC팀</t>
        </is>
      </c>
      <c r="D48" s="154" t="inlineStr">
        <is>
          <t>ESWA법인 조립 수율개선 활동(2차)</t>
        </is>
      </c>
      <c r="E48" s="377" t="n">
        <v>3</v>
      </c>
      <c r="F48" s="181" t="n">
        <v>46234</v>
      </c>
      <c r="G48" s="181" t="n">
        <v>46262</v>
      </c>
      <c r="H48" s="370">
        <f>G48-F48</f>
        <v/>
      </c>
      <c r="I48" s="370">
        <f>H48+1</f>
        <v/>
      </c>
      <c r="J48" s="368" t="inlineStr">
        <is>
          <t>폴란드</t>
        </is>
      </c>
      <c r="K48" s="371" t="inlineStr">
        <is>
          <t>N</t>
        </is>
      </c>
      <c r="L48" s="182" t="n">
        <v>1</v>
      </c>
      <c r="M48" s="371" t="inlineStr">
        <is>
          <t>N</t>
        </is>
      </c>
      <c r="N48" s="368">
        <f>IF(M48="Y",VLOOKUP(J48,'[2]참고. 출장비 단가'!$B$7:$F$13,2,FALSE),VLOOKUP(J48,'[2]참고. 출장비 단가'!$B$7:$F$13,3,FALSE))</f>
        <v/>
      </c>
      <c r="O48" s="368">
        <f>VLOOKUP($J48,'[2]참고. 출장비 단가'!$B$7:$F$13,4,FALSE)</f>
        <v/>
      </c>
      <c r="P48" s="368">
        <f>VLOOKUP($J48,'[2]참고. 출장비 단가'!$B$7:$F$13,5,FALSE)</f>
        <v/>
      </c>
      <c r="Q48" s="368">
        <f>N48*L48</f>
        <v/>
      </c>
      <c r="R48" s="368">
        <f>IF(K48="Y",0,H48*O48)*L48</f>
        <v/>
      </c>
      <c r="S48" s="368">
        <f>IF(I48&lt;15,I48*(P48+'[2]참고. 출장비 단가'!$D$29)*L48,P48*L48*14+(I48-14)*L48*P48*0.8)</f>
        <v/>
      </c>
      <c r="T48" s="372">
        <f>SUM(Q48:S48)</f>
        <v/>
      </c>
      <c r="V48" s="368" t="n">
        <v>0</v>
      </c>
      <c r="X48" s="306">
        <f>T48-V48</f>
        <v/>
      </c>
      <c r="Z48" s="373" t="n">
        <v>2</v>
      </c>
      <c r="AB48" s="374" t="n"/>
      <c r="AC48" s="375" t="n"/>
    </row>
    <row r="49">
      <c r="B49" s="368" t="inlineStr">
        <is>
          <t>자동보정</t>
        </is>
      </c>
      <c r="C49" s="156" t="inlineStr">
        <is>
          <t xml:space="preserve"> 조립자동보정팀 </t>
        </is>
      </c>
      <c r="D49" s="157" t="inlineStr">
        <is>
          <t>ESMI2 자동보정 고도화(분리막) 적용 및 안정화</t>
        </is>
      </c>
      <c r="E49" s="381" t="n">
        <v>3</v>
      </c>
      <c r="F49" s="158" t="n">
        <v>46225</v>
      </c>
      <c r="G49" s="158" t="n">
        <v>46258</v>
      </c>
      <c r="H49" s="370">
        <f>G49-F49</f>
        <v/>
      </c>
      <c r="I49" s="370">
        <f>H49+1</f>
        <v/>
      </c>
      <c r="J49" s="380" t="inlineStr">
        <is>
          <t>미주</t>
        </is>
      </c>
      <c r="K49" s="382" t="inlineStr">
        <is>
          <t>N</t>
        </is>
      </c>
      <c r="L49" s="183" t="n">
        <v>2</v>
      </c>
      <c r="M49" s="382" t="inlineStr">
        <is>
          <t>N</t>
        </is>
      </c>
      <c r="N49" s="368">
        <f>IF(M49="Y",VLOOKUP(J49,'[4]참고. 출장비 단가'!$B$7:$F$13,2,FALSE),VLOOKUP(J49,'[4]참고. 출장비 단가'!$B$7:$F$13,3,FALSE))</f>
        <v/>
      </c>
      <c r="O49" s="368">
        <f>VLOOKUP($J49,'[4]참고. 출장비 단가'!$B$7:$F$13,4,FALSE)</f>
        <v/>
      </c>
      <c r="P49" s="368">
        <f>VLOOKUP($J49,'[4]참고. 출장비 단가'!$B$7:$F$13,5,FALSE)</f>
        <v/>
      </c>
      <c r="Q49" s="368">
        <f>N49*L49</f>
        <v/>
      </c>
      <c r="R49" s="368">
        <f>IF(K49="Y",0,H49*O49)*L49</f>
        <v/>
      </c>
      <c r="S49" s="368">
        <f>IF(I49&lt;15,I49*(P49+'[4]참고. 출장비 단가'!$D$29)*L49,P49*L49*14+(I49-14)*L49*P49*0.8)</f>
        <v/>
      </c>
      <c r="T49" s="372">
        <f>SUM(Q49:S49)</f>
        <v/>
      </c>
      <c r="V49" s="368" t="n">
        <v>0</v>
      </c>
      <c r="X49" s="306">
        <f>T49-V49</f>
        <v/>
      </c>
      <c r="Z49" s="373" t="n">
        <v>2</v>
      </c>
      <c r="AB49" s="374" t="n"/>
    </row>
    <row r="50">
      <c r="B50" s="368" t="inlineStr">
        <is>
          <t>자동보정</t>
        </is>
      </c>
      <c r="C50" s="161" t="inlineStr">
        <is>
          <t xml:space="preserve"> MC자동보정팀 </t>
        </is>
      </c>
      <c r="D50" s="163" t="inlineStr">
        <is>
          <t>ESNB 초기조건조정 자동보정 컨셉 검증 및 신규 자동보정 통합 적용(동시절연 포함)</t>
        </is>
      </c>
      <c r="E50" s="381" t="n">
        <v>3</v>
      </c>
      <c r="F50" s="151" t="n">
        <v>46244</v>
      </c>
      <c r="G50" s="151" t="n">
        <v>46265</v>
      </c>
      <c r="H50" s="370">
        <f>G50-F50</f>
        <v/>
      </c>
      <c r="I50" s="370">
        <f>H50+1</f>
        <v/>
      </c>
      <c r="J50" s="368" t="inlineStr">
        <is>
          <t>중국</t>
        </is>
      </c>
      <c r="K50" s="371" t="inlineStr">
        <is>
          <t>N</t>
        </is>
      </c>
      <c r="L50" s="182" t="n">
        <v>2</v>
      </c>
      <c r="M50" s="371" t="inlineStr">
        <is>
          <t>N</t>
        </is>
      </c>
      <c r="N50" s="368">
        <f>IF(M50="Y",VLOOKUP(J50,'[4]참고. 출장비 단가'!$B$7:$F$13,2,FALSE),VLOOKUP(J50,'[4]참고. 출장비 단가'!$B$7:$F$13,3,FALSE))</f>
        <v/>
      </c>
      <c r="O50" s="368">
        <f>VLOOKUP($J50,'[4]참고. 출장비 단가'!$B$7:$F$13,4,FALSE)</f>
        <v/>
      </c>
      <c r="P50" s="368">
        <f>VLOOKUP($J50,'[4]참고. 출장비 단가'!$B$7:$F$13,5,FALSE)</f>
        <v/>
      </c>
      <c r="Q50" s="368">
        <f>N50*L50</f>
        <v/>
      </c>
      <c r="R50" s="368">
        <f>IF(K50="Y",0,H50*O50)*L50</f>
        <v/>
      </c>
      <c r="S50" s="368">
        <f>IF(I50&lt;15,I50*(P50+'[4]참고. 출장비 단가'!$D$29)*L50,P50*L50*14+(I50-14)*L50*P50*0.8)</f>
        <v/>
      </c>
      <c r="T50" s="372">
        <f>SUM(Q50:S50)</f>
        <v/>
      </c>
      <c r="V50" s="368" t="n">
        <v>0</v>
      </c>
      <c r="X50" s="306">
        <f>T50-V50</f>
        <v/>
      </c>
      <c r="Z50" s="373" t="n">
        <v>2</v>
      </c>
      <c r="AB50" s="374" t="n"/>
      <c r="AC50" s="375" t="n"/>
    </row>
    <row r="51">
      <c r="B51" s="368" t="inlineStr">
        <is>
          <t>자동보정</t>
        </is>
      </c>
      <c r="C51" s="161" t="inlineStr">
        <is>
          <t xml:space="preserve"> MC자동보정팀 </t>
        </is>
      </c>
      <c r="D51" s="163" t="inlineStr">
        <is>
          <t>ESNJ 패턴 코팅 MD 방향 자동보정 적용 및 검증(+3.0 업데이트)</t>
        </is>
      </c>
      <c r="E51" s="381" t="n">
        <v>3</v>
      </c>
      <c r="F51" s="151" t="n">
        <v>46266</v>
      </c>
      <c r="G51" s="151" t="n">
        <v>46286</v>
      </c>
      <c r="H51" s="370">
        <f>G51-F51</f>
        <v/>
      </c>
      <c r="I51" s="370">
        <f>H51+1</f>
        <v/>
      </c>
      <c r="J51" s="368" t="inlineStr">
        <is>
          <t>중국</t>
        </is>
      </c>
      <c r="K51" s="371" t="inlineStr">
        <is>
          <t>N</t>
        </is>
      </c>
      <c r="L51" s="182" t="n">
        <v>3</v>
      </c>
      <c r="M51" s="371" t="inlineStr">
        <is>
          <t>N</t>
        </is>
      </c>
      <c r="N51" s="368">
        <f>IF(M51="Y",VLOOKUP(J51,'[4]참고. 출장비 단가'!$B$7:$F$13,2,FALSE),VLOOKUP(J51,'[4]참고. 출장비 단가'!$B$7:$F$13,3,FALSE))</f>
        <v/>
      </c>
      <c r="O51" s="368">
        <f>VLOOKUP($J51,'[4]참고. 출장비 단가'!$B$7:$F$13,4,FALSE)</f>
        <v/>
      </c>
      <c r="P51" s="368">
        <f>VLOOKUP($J51,'[4]참고. 출장비 단가'!$B$7:$F$13,5,FALSE)</f>
        <v/>
      </c>
      <c r="Q51" s="368">
        <f>N51*L51</f>
        <v/>
      </c>
      <c r="R51" s="368">
        <f>IF(K51="Y",0,H51*O51)*L51</f>
        <v/>
      </c>
      <c r="S51" s="368">
        <f>IF(I51&lt;15,I51*(P51+'[4]참고. 출장비 단가'!$D$29)*L51,P51*L51*14+(I51-14)*L51*P51*0.8)</f>
        <v/>
      </c>
      <c r="T51" s="372">
        <f>SUM(Q51:S51)</f>
        <v/>
      </c>
      <c r="V51" s="368" t="n">
        <v>0</v>
      </c>
      <c r="X51" s="306">
        <f>T51-V51</f>
        <v/>
      </c>
      <c r="Z51" s="373" t="n">
        <v>2</v>
      </c>
      <c r="AB51" s="374" t="n"/>
      <c r="AC51" s="375" t="n"/>
    </row>
    <row r="52">
      <c r="B52" s="368" t="inlineStr">
        <is>
          <t>자동보정</t>
        </is>
      </c>
      <c r="C52" s="161" t="inlineStr">
        <is>
          <t xml:space="preserve"> MC자동보정팀 </t>
        </is>
      </c>
      <c r="D52" s="163" t="inlineStr">
        <is>
          <t>북미 자동보정 점검</t>
        </is>
      </c>
      <c r="E52" s="381" t="n">
        <v>3</v>
      </c>
      <c r="F52" s="151" t="n">
        <v>46254</v>
      </c>
      <c r="G52" s="151" t="n">
        <v>46271</v>
      </c>
      <c r="H52" s="370">
        <f>G52-F52</f>
        <v/>
      </c>
      <c r="I52" s="370">
        <f>H52+1</f>
        <v/>
      </c>
      <c r="J52" s="368" t="inlineStr">
        <is>
          <t>미주</t>
        </is>
      </c>
      <c r="K52" s="371" t="inlineStr">
        <is>
          <t>N</t>
        </is>
      </c>
      <c r="L52" s="182" t="n">
        <v>1</v>
      </c>
      <c r="M52" s="371" t="inlineStr">
        <is>
          <t>N</t>
        </is>
      </c>
      <c r="N52" s="368">
        <f>IF(M52="Y",VLOOKUP(J52,'[4]참고. 출장비 단가'!$B$7:$F$13,2,FALSE),VLOOKUP(J52,'[4]참고. 출장비 단가'!$B$7:$F$13,3,FALSE))</f>
        <v/>
      </c>
      <c r="O52" s="368">
        <f>VLOOKUP($J52,'[4]참고. 출장비 단가'!$B$7:$F$13,4,FALSE)</f>
        <v/>
      </c>
      <c r="P52" s="368">
        <f>VLOOKUP($J52,'[4]참고. 출장비 단가'!$B$7:$F$13,5,FALSE)</f>
        <v/>
      </c>
      <c r="Q52" s="368">
        <f>N52*L52</f>
        <v/>
      </c>
      <c r="R52" s="368">
        <f>IF(K52="Y",0,H52*O52)*L52</f>
        <v/>
      </c>
      <c r="S52" s="368">
        <f>IF(I52&lt;15,I52*(P52+'[4]참고. 출장비 단가'!$D$29)*L52,P52*L52*14+(I52-14)*L52*P52*0.8)</f>
        <v/>
      </c>
      <c r="T52" s="372">
        <f>SUM(Q52:S52)</f>
        <v/>
      </c>
      <c r="V52" s="368" t="n">
        <v>0</v>
      </c>
      <c r="X52" s="306">
        <f>T52-V52</f>
        <v/>
      </c>
      <c r="Z52" s="373" t="n">
        <v>2</v>
      </c>
      <c r="AB52" s="374" t="n"/>
      <c r="AC52" s="375" t="n"/>
    </row>
    <row r="53">
      <c r="B53" s="368" t="inlineStr">
        <is>
          <t>자동보정</t>
        </is>
      </c>
      <c r="C53" s="161" t="inlineStr">
        <is>
          <t xml:space="preserve"> MC자동보정팀 </t>
        </is>
      </c>
      <c r="D53" s="163" t="inlineStr">
        <is>
          <t>ESWA 차세대 다이(초크바) 자동보정 고도화</t>
        </is>
      </c>
      <c r="E53" s="381" t="n">
        <v>3</v>
      </c>
      <c r="F53" s="151" t="n">
        <v>46266</v>
      </c>
      <c r="G53" s="151" t="n">
        <v>46291</v>
      </c>
      <c r="H53" s="370">
        <f>G53-F53</f>
        <v/>
      </c>
      <c r="I53" s="370">
        <f>H53+1</f>
        <v/>
      </c>
      <c r="J53" s="368" t="inlineStr">
        <is>
          <t>폴란드</t>
        </is>
      </c>
      <c r="K53" s="371" t="inlineStr">
        <is>
          <t>N</t>
        </is>
      </c>
      <c r="L53" s="182" t="n">
        <v>2</v>
      </c>
      <c r="M53" s="371" t="inlineStr">
        <is>
          <t>N</t>
        </is>
      </c>
      <c r="N53" s="368">
        <f>IF(M53="Y",VLOOKUP(J53,'[4]참고. 출장비 단가'!$B$7:$F$13,2,FALSE),VLOOKUP(J53,'[4]참고. 출장비 단가'!$B$7:$F$13,3,FALSE))</f>
        <v/>
      </c>
      <c r="O53" s="368">
        <f>VLOOKUP($J53,'[4]참고. 출장비 단가'!$B$7:$F$13,4,FALSE)</f>
        <v/>
      </c>
      <c r="P53" s="368">
        <f>VLOOKUP($J53,'[4]참고. 출장비 단가'!$B$7:$F$13,5,FALSE)</f>
        <v/>
      </c>
      <c r="Q53" s="368">
        <f>N53*L53</f>
        <v/>
      </c>
      <c r="R53" s="368">
        <f>IF(K53="Y",0,H53*O53)*L53</f>
        <v/>
      </c>
      <c r="S53" s="368">
        <f>IF(I53&lt;15,I53*(P53+'[4]참고. 출장비 단가'!$D$29)*L53,P53*L53*14+(I53-14)*L53*P53*0.8)</f>
        <v/>
      </c>
      <c r="T53" s="372">
        <f>SUM(Q53:S53)</f>
        <v/>
      </c>
      <c r="V53" s="368" t="n">
        <v>0</v>
      </c>
      <c r="X53" s="306">
        <f>T53-V53</f>
        <v/>
      </c>
      <c r="Z53" s="373" t="n">
        <v>2</v>
      </c>
      <c r="AB53" s="374" t="n"/>
    </row>
    <row r="54">
      <c r="B54" s="368" t="inlineStr">
        <is>
          <t>자동보정</t>
        </is>
      </c>
      <c r="C54" s="161" t="inlineStr">
        <is>
          <t xml:space="preserve"> 자동보정선행개발팀 </t>
        </is>
      </c>
      <c r="D54" s="163" t="inlineStr">
        <is>
          <t>ESS 자동보정 기술 적용 (Peoplwworks)</t>
        </is>
      </c>
      <c r="E54" s="381" t="n">
        <v>3</v>
      </c>
      <c r="F54" s="151" t="n">
        <v>46239</v>
      </c>
      <c r="G54" s="151" t="n">
        <v>46269</v>
      </c>
      <c r="H54" s="370">
        <f>G54-F54</f>
        <v/>
      </c>
      <c r="I54" s="370">
        <f>H54+1</f>
        <v/>
      </c>
      <c r="J54" s="368" t="inlineStr">
        <is>
          <t>미주</t>
        </is>
      </c>
      <c r="K54" s="161" t="inlineStr">
        <is>
          <t xml:space="preserve"> N </t>
        </is>
      </c>
      <c r="L54" s="161" t="n">
        <v>2</v>
      </c>
      <c r="M54" s="161" t="inlineStr">
        <is>
          <t xml:space="preserve"> N </t>
        </is>
      </c>
      <c r="N54" s="368">
        <f>IF(M54="Y",VLOOKUP(J54,'[4]참고. 출장비 단가'!$B$7:$F$13,2,FALSE),VLOOKUP(J54,'[4]참고. 출장비 단가'!$B$7:$F$13,3,FALSE))</f>
        <v/>
      </c>
      <c r="O54" s="368">
        <f>VLOOKUP($J54,'[4]참고. 출장비 단가'!$B$7:$F$13,4,FALSE)</f>
        <v/>
      </c>
      <c r="P54" s="368">
        <f>VLOOKUP($J54,'[4]참고. 출장비 단가'!$B$7:$F$13,5,FALSE)</f>
        <v/>
      </c>
      <c r="Q54" s="368">
        <f>N54*L54</f>
        <v/>
      </c>
      <c r="R54" s="368">
        <f>IF(K54="Y",0,H54*O54)*L54</f>
        <v/>
      </c>
      <c r="S54" s="368">
        <f>IF(I54&lt;15,I54*(P54+'[4]참고. 출장비 단가'!$D$29)*L54,P54*L54*14+(I54-14)*L54*P54*0.8)</f>
        <v/>
      </c>
      <c r="T54" s="372">
        <f>SUM(Q54:S54)</f>
        <v/>
      </c>
      <c r="V54" s="368" t="n">
        <v>0</v>
      </c>
      <c r="X54" s="306">
        <f>T54-V54</f>
        <v/>
      </c>
      <c r="Z54" s="373" t="n">
        <v>2</v>
      </c>
      <c r="AB54" s="374" t="n"/>
      <c r="AC54" s="375" t="n"/>
    </row>
    <row r="55">
      <c r="B55" s="368" t="inlineStr">
        <is>
          <t>자동보정</t>
        </is>
      </c>
      <c r="C55" s="161" t="inlineStr">
        <is>
          <t xml:space="preserve"> 자동보정선행개발팀 </t>
        </is>
      </c>
      <c r="D55" s="163" t="inlineStr">
        <is>
          <t>ESMI 코터 슬러리온도자동보정 기술 적용</t>
        </is>
      </c>
      <c r="E55" s="381" t="n">
        <v>4</v>
      </c>
      <c r="F55" s="151" t="n">
        <v>46301</v>
      </c>
      <c r="G55" s="151" t="n">
        <v>46325</v>
      </c>
      <c r="H55" s="370">
        <f>G55-F55</f>
        <v/>
      </c>
      <c r="I55" s="370">
        <f>H55+1</f>
        <v/>
      </c>
      <c r="J55" s="368" t="inlineStr">
        <is>
          <t>미주</t>
        </is>
      </c>
      <c r="K55" s="161" t="inlineStr">
        <is>
          <t xml:space="preserve"> N </t>
        </is>
      </c>
      <c r="L55" s="161" t="n">
        <v>2</v>
      </c>
      <c r="M55" s="161" t="inlineStr">
        <is>
          <t xml:space="preserve"> N </t>
        </is>
      </c>
      <c r="N55" s="368">
        <f>IF(M55="Y",VLOOKUP(J55,'[4]참고. 출장비 단가'!$B$7:$F$13,2,FALSE),VLOOKUP(J55,'[4]참고. 출장비 단가'!$B$7:$F$13,3,FALSE))</f>
        <v/>
      </c>
      <c r="O55" s="368">
        <f>VLOOKUP($J55,'[4]참고. 출장비 단가'!$B$7:$F$13,4,FALSE)</f>
        <v/>
      </c>
      <c r="P55" s="368">
        <f>VLOOKUP($J55,'[4]참고. 출장비 단가'!$B$7:$F$13,5,FALSE)</f>
        <v/>
      </c>
      <c r="Q55" s="368">
        <f>N55*L55</f>
        <v/>
      </c>
      <c r="R55" s="368">
        <f>IF(K55="Y",0,H55*O55)*L55</f>
        <v/>
      </c>
      <c r="S55" s="368">
        <f>IF(I55&lt;15,I55*(P55+'[4]참고. 출장비 단가'!$D$29)*L55,P55*L55*14+(I55-14)*L55*P55*0.8)</f>
        <v/>
      </c>
      <c r="T55" s="372">
        <f>SUM(Q55:S55)</f>
        <v/>
      </c>
      <c r="V55" s="368" t="n">
        <v>0</v>
      </c>
      <c r="X55" s="306">
        <f>T55-V55</f>
        <v/>
      </c>
      <c r="Z55" s="373" t="n">
        <v>2</v>
      </c>
      <c r="AB55" s="374" t="n"/>
      <c r="AC55" s="375" t="n"/>
    </row>
    <row r="56">
      <c r="B56" s="368" t="inlineStr">
        <is>
          <t>자동보정</t>
        </is>
      </c>
      <c r="C56" s="306" t="inlineStr">
        <is>
          <t>-</t>
        </is>
      </c>
      <c r="D56" s="149" t="inlineStr">
        <is>
          <t>ESAZ.MI.ST 북미 ESS/NFF 자동보정 적용 점검</t>
        </is>
      </c>
      <c r="E56" s="381" t="n">
        <v>3</v>
      </c>
      <c r="F56" s="151" t="n">
        <v>46254</v>
      </c>
      <c r="G56" s="151" t="n">
        <v>46267</v>
      </c>
      <c r="H56" s="370">
        <f>G56-F56</f>
        <v/>
      </c>
      <c r="I56" s="370">
        <f>H56+1</f>
        <v/>
      </c>
      <c r="J56" s="368" t="inlineStr">
        <is>
          <t>미주</t>
        </is>
      </c>
      <c r="K56" s="161" t="inlineStr">
        <is>
          <t xml:space="preserve"> N </t>
        </is>
      </c>
      <c r="L56" s="161" t="n">
        <v>1</v>
      </c>
      <c r="M56" s="161" t="inlineStr">
        <is>
          <t>Y</t>
        </is>
      </c>
      <c r="N56" s="368">
        <f>IF(M56="Y",VLOOKUP(J56,'[4]참고. 출장비 단가'!$B$7:$F$13,2,FALSE),VLOOKUP(J56,'[4]참고. 출장비 단가'!$B$7:$F$13,3,FALSE))</f>
        <v/>
      </c>
      <c r="O56" s="368">
        <f>VLOOKUP($J56,'[4]참고. 출장비 단가'!$B$7:$F$13,4,FALSE)</f>
        <v/>
      </c>
      <c r="P56" s="368">
        <f>VLOOKUP($J56,'[4]참고. 출장비 단가'!$B$7:$F$13,5,FALSE)</f>
        <v/>
      </c>
      <c r="Q56" s="368">
        <f>N56*L56</f>
        <v/>
      </c>
      <c r="R56" s="368">
        <f>IF(K56="Y",0,H56*O56)*L56</f>
        <v/>
      </c>
      <c r="S56" s="368">
        <f>IF(I56&lt;15,I56*(P56+'[4]참고. 출장비 단가'!$D$29)*L56,P56*L56*14+(I56-14)*L56*P56*0.8)</f>
        <v/>
      </c>
      <c r="T56" s="372">
        <f>SUM(Q56:S56)</f>
        <v/>
      </c>
      <c r="V56" s="368" t="n">
        <v>0</v>
      </c>
      <c r="X56" s="306">
        <f>T56-V56</f>
        <v/>
      </c>
      <c r="Z56" s="373" t="n">
        <v>2</v>
      </c>
      <c r="AB56" s="374" t="n"/>
    </row>
  </sheetData>
  <autoFilter ref="B13:C56"/>
  <mergeCells count="21">
    <mergeCell ref="N3:N4"/>
    <mergeCell ref="L12:L13"/>
    <mergeCell ref="S3:T3"/>
    <mergeCell ref="Z12:Z13"/>
    <mergeCell ref="AB12:AB13"/>
    <mergeCell ref="B12:C12"/>
    <mergeCell ref="T12:T13"/>
    <mergeCell ref="K12:K13"/>
    <mergeCell ref="N11:T11"/>
    <mergeCell ref="D12:D13"/>
    <mergeCell ref="P3:R3"/>
    <mergeCell ref="F12:I12"/>
    <mergeCell ref="J12:J13"/>
    <mergeCell ref="M2:M4"/>
    <mergeCell ref="V12:V13"/>
    <mergeCell ref="Q12:S12"/>
    <mergeCell ref="N2:T2"/>
    <mergeCell ref="E12:E13"/>
    <mergeCell ref="O3:O4"/>
    <mergeCell ref="X12:X13"/>
    <mergeCell ref="N12:P12"/>
  </mergeCells>
  <conditionalFormatting sqref="Z12:Z56">
    <cfRule type="cellIs" priority="1" operator="equal" dxfId="1">
      <formula>1</formula>
    </cfRule>
    <cfRule type="cellIs" priority="2" operator="equal" dxfId="0">
      <formula>2</formula>
    </cfRule>
  </conditionalFormatting>
  <dataValidations count="5">
    <dataValidation sqref="K10:K13 K57:K1048576" showDropDown="0" showInputMessage="1" showErrorMessage="1" allowBlank="1" type="custom">
      <formula1>"N,Y"</formula1>
    </dataValidation>
    <dataValidation sqref="K14:K42 K46:K53 M14:M19" showDropDown="0" showInputMessage="1" showErrorMessage="1" allowBlank="1" type="list">
      <formula1>"N,Y"</formula1>
    </dataValidation>
    <dataValidation sqref="J12:J13" showDropDown="0" showInputMessage="1" showErrorMessage="1" allowBlank="1" type="list">
      <formula1>"미주,인도네시아,일본,중국,폴란드,호주,유럽(폴란드外)"</formula1>
    </dataValidation>
    <dataValidation sqref="M16:M53" showDropDown="0" showInputMessage="1" showErrorMessage="1" allowBlank="1" type="list">
      <formula1>"Y,N"</formula1>
    </dataValidation>
    <dataValidation sqref="J14:J1048576" showDropDown="0" showInputMessage="1" showErrorMessage="1" allowBlank="1" type="list">
      <formula1>"미주, 인도네시아, 일본, 중국, 폴란드, 호주, 유럽(폴란드 外)"</formula1>
    </dataValidation>
  </dataValidations>
  <pageMargins left="0.7" right="0.7" top="0.75" bottom="0.75" header="0.3" footer="0.3"/>
  <pageSetup orientation="portrait" paperSize="9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F29"/>
  <sheetViews>
    <sheetView zoomScale="85" zoomScaleNormal="85" workbookViewId="0">
      <selection activeCell="K36" sqref="K36"/>
    </sheetView>
  </sheetViews>
  <sheetFormatPr baseColWidth="8" defaultColWidth="9" defaultRowHeight="14.25"/>
  <cols>
    <col width="9" customWidth="1" style="3" min="1" max="1"/>
    <col width="20.625" customWidth="1" style="3" min="2" max="2"/>
    <col width="13.25" bestFit="1" customWidth="1" style="3" min="3" max="3"/>
    <col width="12" bestFit="1" customWidth="1" style="3" min="4" max="4"/>
    <col width="14.625" bestFit="1" customWidth="1" style="3" min="5" max="5"/>
    <col width="12" bestFit="1" customWidth="1" style="3" min="6" max="6"/>
    <col width="9" customWidth="1" style="3" min="7" max="16384"/>
  </cols>
  <sheetData>
    <row r="1">
      <c r="B1" s="14" t="n"/>
      <c r="C1" s="383" t="n"/>
      <c r="D1" s="383" t="n"/>
    </row>
    <row r="2">
      <c r="B2" s="15" t="inlineStr">
        <is>
          <t>▶ 국내/해외출장 단가 책정안</t>
        </is>
      </c>
    </row>
    <row r="3">
      <c r="B3" s="15" t="n"/>
      <c r="E3" s="325" t="n"/>
      <c r="F3" s="3" t="inlineStr">
        <is>
          <t>일당 (식대, 현지교통비, 기타잡비)</t>
        </is>
      </c>
    </row>
    <row r="4">
      <c r="B4" s="16" t="inlineStr">
        <is>
          <t>출장 국가</t>
        </is>
      </c>
      <c r="C4" s="16" t="inlineStr">
        <is>
          <t>교통비</t>
        </is>
      </c>
      <c r="D4" s="267" t="n"/>
      <c r="E4" s="384" t="inlineStr">
        <is>
          <t>숙박비</t>
        </is>
      </c>
      <c r="F4" s="384" t="inlineStr">
        <is>
          <t>일당</t>
        </is>
      </c>
    </row>
    <row r="5">
      <c r="B5" s="270" t="n"/>
      <c r="C5" s="16" t="inlineStr">
        <is>
          <t>임원</t>
        </is>
      </c>
      <c r="D5" s="16" t="inlineStr">
        <is>
          <t>팀원/팀장</t>
        </is>
      </c>
      <c r="E5" s="270" t="n"/>
      <c r="F5" s="270" t="n"/>
    </row>
    <row r="6">
      <c r="B6" s="17" t="inlineStr">
        <is>
          <t>국내</t>
        </is>
      </c>
      <c r="C6" s="385" t="n">
        <v>65000</v>
      </c>
      <c r="D6" s="385" t="n">
        <v>65000</v>
      </c>
      <c r="E6" s="386" t="n">
        <v>80000</v>
      </c>
      <c r="F6" s="386" t="n">
        <v>30000</v>
      </c>
    </row>
    <row r="7">
      <c r="B7" s="20" t="inlineStr">
        <is>
          <t>미주</t>
        </is>
      </c>
      <c r="C7" s="387" t="n">
        <v>10000000</v>
      </c>
      <c r="D7" s="387" t="n">
        <v>5000000</v>
      </c>
      <c r="E7" s="387" t="n">
        <v>200000</v>
      </c>
      <c r="F7" s="387" t="n">
        <v>150000</v>
      </c>
    </row>
    <row r="8">
      <c r="B8" s="20" t="inlineStr">
        <is>
          <t>인도네시아</t>
        </is>
      </c>
      <c r="C8" s="388" t="n">
        <v>5000000</v>
      </c>
      <c r="D8" s="388" t="n">
        <v>2500000</v>
      </c>
      <c r="E8" s="387" t="n">
        <v>80000</v>
      </c>
      <c r="F8" s="388" t="n">
        <v>150000</v>
      </c>
    </row>
    <row r="9">
      <c r="B9" s="20" t="inlineStr">
        <is>
          <t>일본</t>
        </is>
      </c>
      <c r="C9" s="388" t="n">
        <v>1000000</v>
      </c>
      <c r="D9" s="388" t="n">
        <v>1000000</v>
      </c>
      <c r="E9" s="387" t="n">
        <v>80000</v>
      </c>
      <c r="F9" s="388" t="n">
        <v>115000</v>
      </c>
    </row>
    <row r="10">
      <c r="B10" s="20" t="inlineStr">
        <is>
          <t>중국</t>
        </is>
      </c>
      <c r="C10" s="388" t="n">
        <v>1000000</v>
      </c>
      <c r="D10" s="388" t="n">
        <v>1000000</v>
      </c>
      <c r="E10" s="387" t="n">
        <v>80000</v>
      </c>
      <c r="F10" s="388" t="n">
        <v>105000</v>
      </c>
    </row>
    <row r="11">
      <c r="B11" s="20" t="inlineStr">
        <is>
          <t>폴란드</t>
        </is>
      </c>
      <c r="C11" s="388" t="n">
        <v>9000000</v>
      </c>
      <c r="D11" s="388" t="n">
        <v>4500000</v>
      </c>
      <c r="E11" s="387" t="n">
        <v>150000</v>
      </c>
      <c r="F11" s="388" t="n">
        <v>150000</v>
      </c>
    </row>
    <row r="12">
      <c r="B12" s="20" t="inlineStr">
        <is>
          <t>호주</t>
        </is>
      </c>
      <c r="C12" s="388">
        <f>D12*2</f>
        <v/>
      </c>
      <c r="D12" s="388" t="n">
        <v>2500000</v>
      </c>
      <c r="E12" s="387" t="n">
        <v>150000</v>
      </c>
      <c r="F12" s="388" t="n">
        <v>150000</v>
      </c>
    </row>
    <row r="13">
      <c r="B13" s="20" t="inlineStr">
        <is>
          <t>유럽(폴란드 外)</t>
        </is>
      </c>
      <c r="C13" s="388" t="n">
        <v>9000000</v>
      </c>
      <c r="D13" s="388" t="n">
        <v>4500000</v>
      </c>
      <c r="E13" s="387" t="n">
        <v>150000</v>
      </c>
      <c r="F13" s="388" t="n">
        <v>150000</v>
      </c>
    </row>
    <row r="14">
      <c r="B14" s="20" t="inlineStr">
        <is>
          <t>기타</t>
        </is>
      </c>
      <c r="C14" s="389" t="inlineStr">
        <is>
          <t>업무지원Portal - BTMS - 출장예약 참고</t>
        </is>
      </c>
      <c r="D14" s="266" t="n"/>
      <c r="E14" s="266" t="n"/>
      <c r="F14" s="267" t="n"/>
    </row>
    <row r="15">
      <c r="E15" s="325" t="n"/>
    </row>
    <row r="16">
      <c r="E16" s="325" t="n"/>
    </row>
    <row r="18">
      <c r="B18" s="15" t="inlineStr">
        <is>
          <t>☞해외 출장 일당 단가 (23년 하반기 사업보고 환율 적용)</t>
        </is>
      </c>
    </row>
    <row r="19">
      <c r="B19" s="15" t="n"/>
    </row>
    <row r="20">
      <c r="B20" s="3" t="inlineStr">
        <is>
          <t xml:space="preserve">① 해외출장 일당 지급 한도액으로 일괄 적용 (단기/장기 구분 X) </t>
        </is>
      </c>
    </row>
    <row r="21">
      <c r="B21" s="23" t="n"/>
      <c r="C21" s="24" t="inlineStr">
        <is>
          <t>현지화</t>
        </is>
      </c>
      <c r="D21" s="24" t="inlineStr">
        <is>
          <t>환율</t>
        </is>
      </c>
      <c r="E21" s="24" t="inlineStr">
        <is>
          <t>원화 금액</t>
        </is>
      </c>
    </row>
    <row r="22">
      <c r="B22" s="25" t="inlineStr">
        <is>
          <t>중국(RMB)</t>
        </is>
      </c>
      <c r="C22" s="390" t="n">
        <v>540</v>
      </c>
      <c r="D22" s="390" t="n">
        <v>178</v>
      </c>
      <c r="E22" s="391">
        <f>C22*D22</f>
        <v/>
      </c>
    </row>
    <row r="23">
      <c r="B23" s="28" t="inlineStr">
        <is>
          <t>일본(100￥)</t>
        </is>
      </c>
      <c r="C23" s="390" t="n">
        <v>130</v>
      </c>
      <c r="D23" s="390" t="n">
        <v>921</v>
      </c>
      <c r="E23" s="391">
        <f>C23*D23</f>
        <v/>
      </c>
    </row>
    <row r="24">
      <c r="B24" s="28" t="inlineStr">
        <is>
          <t>유로화(€)</t>
        </is>
      </c>
      <c r="C24" s="390" t="n">
        <v>100</v>
      </c>
      <c r="D24" s="390" t="n">
        <v>1373</v>
      </c>
      <c r="E24" s="391">
        <f>C24*D24</f>
        <v/>
      </c>
    </row>
    <row r="25">
      <c r="B25" s="25" t="inlineStr">
        <is>
          <t>달러($)</t>
        </is>
      </c>
      <c r="C25" s="392" t="n">
        <v>110</v>
      </c>
      <c r="D25" s="392" t="n">
        <v>1240</v>
      </c>
      <c r="E25" s="391">
        <f>C25*D25</f>
        <v/>
      </c>
    </row>
    <row r="27">
      <c r="B27" s="326" t="inlineStr">
        <is>
          <t>② 단기일당 추가 지급 반영</t>
        </is>
      </c>
      <c r="C27" s="325" t="n"/>
    </row>
    <row r="28">
      <c r="B28" s="23" t="n"/>
      <c r="C28" s="24" t="inlineStr">
        <is>
          <t>달러($)</t>
        </is>
      </c>
      <c r="D28" s="24" t="inlineStr">
        <is>
          <t>원화 금액</t>
        </is>
      </c>
    </row>
    <row r="29">
      <c r="B29" s="25" t="inlineStr">
        <is>
          <t>1~14일</t>
        </is>
      </c>
      <c r="C29" s="390" t="n">
        <v>20</v>
      </c>
      <c r="D29" s="390">
        <f>C29*$D$25</f>
        <v/>
      </c>
    </row>
  </sheetData>
  <mergeCells count="5">
    <mergeCell ref="B4:B5"/>
    <mergeCell ref="F4:F5"/>
    <mergeCell ref="E4:E5"/>
    <mergeCell ref="C14:F14"/>
    <mergeCell ref="C4:D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theme="0"/>
    <outlinePr summaryBelow="1" summaryRight="1"/>
    <pageSetUpPr/>
  </sheetPr>
  <dimension ref="B2:K15"/>
  <sheetViews>
    <sheetView showGridLines="0" zoomScaleNormal="100" workbookViewId="0">
      <pane ySplit="2" topLeftCell="A3" activePane="bottomLeft" state="frozen"/>
      <selection pane="bottomLeft" activeCell="I18" sqref="I18"/>
    </sheetView>
  </sheetViews>
  <sheetFormatPr baseColWidth="8" defaultRowHeight="16.5"/>
  <cols>
    <col width="2.125" customWidth="1" style="260" min="1" max="1"/>
    <col width="13.75" bestFit="1" customWidth="1" style="260" min="2" max="2"/>
    <col width="14.625" bestFit="1" customWidth="1" style="260" min="3" max="3"/>
    <col width="15" bestFit="1" customWidth="1" style="260" min="4" max="4"/>
    <col width="14.625" bestFit="1" customWidth="1" style="260" min="5" max="6"/>
    <col width="16.125" bestFit="1" customWidth="1" style="260" min="7" max="7"/>
  </cols>
  <sheetData>
    <row r="1" ht="8.25" customHeight="1" s="260"/>
    <row r="2">
      <c r="B2" s="230" t="inlineStr">
        <is>
          <t>부문</t>
        </is>
      </c>
      <c r="C2" s="393" t="n">
        <v>1</v>
      </c>
      <c r="D2" s="393" t="n">
        <v>2</v>
      </c>
      <c r="E2" s="393" t="n">
        <v>3</v>
      </c>
      <c r="F2" s="393" t="n">
        <v>4</v>
      </c>
      <c r="G2" s="230" t="inlineStr">
        <is>
          <t>26년</t>
        </is>
      </c>
    </row>
    <row r="3">
      <c r="B3" s="40" t="inlineStr">
        <is>
          <t>제조DX솔루션</t>
        </is>
      </c>
      <c r="C3" s="322" t="n">
        <v>75000000</v>
      </c>
      <c r="D3" s="322">
        <f>75000000+41000000+75000000</f>
        <v/>
      </c>
      <c r="E3" s="322" t="n">
        <v>0</v>
      </c>
      <c r="F3" s="322" t="n">
        <v>75000000</v>
      </c>
      <c r="G3" s="322">
        <f>SUM(C3:F3)</f>
        <v/>
      </c>
    </row>
    <row r="4">
      <c r="B4" s="40" t="inlineStr">
        <is>
          <t>자동보정</t>
        </is>
      </c>
      <c r="C4" s="322" t="n">
        <v>75000000</v>
      </c>
      <c r="D4" s="322">
        <f>75000000+11000000-6000000</f>
        <v/>
      </c>
      <c r="E4" s="322" t="n">
        <v>75000000</v>
      </c>
      <c r="F4" s="322" t="n">
        <v>75000000</v>
      </c>
      <c r="G4" s="322">
        <f>SUM(C4:F4)</f>
        <v/>
      </c>
    </row>
    <row r="5">
      <c r="B5" s="40" t="inlineStr">
        <is>
          <t>FDC DX</t>
        </is>
      </c>
      <c r="C5" s="322" t="n">
        <v>75000000</v>
      </c>
      <c r="D5" s="322">
        <f>75000000+33000000</f>
        <v/>
      </c>
      <c r="E5" s="322" t="n">
        <v>75000000</v>
      </c>
      <c r="F5" s="322" t="n">
        <v>75000000</v>
      </c>
      <c r="G5" s="322">
        <f>SUM(C5:F5)</f>
        <v/>
      </c>
    </row>
    <row r="6">
      <c r="B6" s="40" t="inlineStr">
        <is>
          <t>품질DX</t>
        </is>
      </c>
      <c r="C6" s="322">
        <f>75000000-10000000</f>
        <v/>
      </c>
      <c r="D6" s="322">
        <f>75000000-85000000+75000000</f>
        <v/>
      </c>
      <c r="E6" s="322" t="n">
        <v>0</v>
      </c>
      <c r="F6" s="322" t="n">
        <v>75000000</v>
      </c>
      <c r="G6" s="322">
        <f>SUM(C6:F6)</f>
        <v/>
      </c>
    </row>
    <row r="7">
      <c r="C7" s="394">
        <f>SUM(C3:C6)</f>
        <v/>
      </c>
      <c r="D7" s="394">
        <f>SUM(D3:D6)</f>
        <v/>
      </c>
      <c r="E7" s="394">
        <f>SUM(E3:E6)</f>
        <v/>
      </c>
      <c r="F7" s="394">
        <f>SUM(F3:F6)</f>
        <v/>
      </c>
      <c r="G7" s="394">
        <f>SUM(G3:G6)</f>
        <v/>
      </c>
    </row>
    <row r="8"/>
    <row r="9"/>
    <row r="10"/>
    <row r="11"/>
    <row r="12"/>
    <row r="13"/>
    <row r="14"/>
    <row r="15">
      <c r="K15" s="0" t="inlineStr">
        <is>
          <t>s</t>
        </is>
      </c>
    </row>
  </sheetData>
  <pageMargins left="0.7" right="0.7" top="0.75" bottom="0.75" header="0.3" footer="0.3"/>
  <pageSetup orientation="portrait" paperSize="9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기준일</t>
        </is>
      </c>
      <c r="B1" s="0" t="inlineStr">
        <is>
          <t>팀</t>
        </is>
      </c>
      <c r="C1" s="0" t="inlineStr">
        <is>
          <t>출장자</t>
        </is>
      </c>
      <c r="D1" s="0" t="inlineStr">
        <is>
          <t>출장목적</t>
        </is>
      </c>
      <c r="E1" s="0" t="inlineStr">
        <is>
          <t>출발일</t>
        </is>
      </c>
      <c r="F1" s="0" t="inlineStr">
        <is>
          <t>귀국일</t>
        </is>
      </c>
      <c r="G1" s="0" t="inlineStr">
        <is>
          <t>금액(원)</t>
        </is>
      </c>
      <c r="H1" s="0" t="inlineStr">
        <is>
          <t>비고</t>
        </is>
      </c>
    </row>
    <row r="2">
      <c r="A2" s="395" t="n">
        <v>46227</v>
      </c>
      <c r="B2" s="0" t="inlineStr">
        <is>
          <t>자동보정팀</t>
        </is>
      </c>
      <c r="C2" s="0" t="inlineStr">
        <is>
          <t>홍길동</t>
        </is>
      </c>
      <c r="D2" s="0" t="inlineStr">
        <is>
          <t>설비 협의</t>
        </is>
      </c>
      <c r="E2" s="395" t="n">
        <v>46235</v>
      </c>
      <c r="F2" s="395" t="n">
        <v>46239</v>
      </c>
      <c r="G2" s="0" t="n">
        <v>3500000</v>
      </c>
      <c r="H2" s="0" t="n"/>
    </row>
    <row r="3">
      <c r="A3" s="395" t="n">
        <v>46227</v>
      </c>
      <c r="B3" s="0" t="inlineStr">
        <is>
          <t>자동보정팀</t>
        </is>
      </c>
      <c r="C3" s="0" t="inlineStr">
        <is>
          <t>김철수</t>
        </is>
      </c>
      <c r="D3" s="0" t="inlineStr">
        <is>
          <t>기술 교육</t>
        </is>
      </c>
      <c r="E3" s="395" t="n">
        <v>46244</v>
      </c>
      <c r="F3" s="395" t="n">
        <v>46248</v>
      </c>
      <c r="G3" s="0" t="n">
        <v>2800000</v>
      </c>
      <c r="H3" s="0" t="inlineStr">
        <is>
          <t>사전 승인완료</t>
        </is>
      </c>
    </row>
    <row r="4">
      <c r="A4" s="395" t="n">
        <v>46227</v>
      </c>
      <c r="B4" s="0" t="inlineStr">
        <is>
          <t>FDC팀</t>
        </is>
      </c>
      <c r="C4" s="0" t="inlineStr">
        <is>
          <t>이영희</t>
        </is>
      </c>
      <c r="D4" s="0" t="inlineStr">
        <is>
          <t>현지 점검</t>
        </is>
      </c>
      <c r="E4" s="395" t="n">
        <v>46237</v>
      </c>
      <c r="F4" s="395" t="n">
        <v>46240</v>
      </c>
      <c r="G4" s="0" t="n">
        <v>4100000</v>
      </c>
      <c r="H4" s="0" t="n"/>
    </row>
    <row r="5">
      <c r="A5" s="395" t="n">
        <v>46234</v>
      </c>
      <c r="B5" s="0" t="inlineStr">
        <is>
          <t>자동보정팀</t>
        </is>
      </c>
      <c r="C5" s="0" t="inlineStr">
        <is>
          <t>박민준</t>
        </is>
      </c>
      <c r="D5" s="0" t="inlineStr">
        <is>
          <t>부품 조달</t>
        </is>
      </c>
      <c r="E5" s="395" t="n">
        <v>46249</v>
      </c>
      <c r="F5" s="395" t="n">
        <v>46252</v>
      </c>
      <c r="G5" s="0" t="n">
        <v>1000000</v>
      </c>
      <c r="H5" s="0" t="n"/>
    </row>
    <row r="6">
      <c r="A6" s="395" t="n">
        <v>46234</v>
      </c>
      <c r="B6" s="0" t="inlineStr">
        <is>
          <t>FDC팀</t>
        </is>
      </c>
      <c r="C6" s="0" t="inlineStr">
        <is>
          <t>이영희</t>
        </is>
      </c>
      <c r="D6" s="0" t="inlineStr">
        <is>
          <t>후속 점검</t>
        </is>
      </c>
      <c r="E6" s="395" t="n">
        <v>46250</v>
      </c>
      <c r="F6" s="395" t="n">
        <v>46253</v>
      </c>
      <c r="G6" s="0" t="n">
        <v>2000000</v>
      </c>
      <c r="H6" s="0" t="n"/>
    </row>
    <row r="7">
      <c r="A7" s="395" t="n">
        <v>46241</v>
      </c>
      <c r="B7" t="inlineStr">
        <is>
          <t>자동보정</t>
        </is>
      </c>
      <c r="C7" t="inlineStr">
        <is>
          <t>홍길동</t>
        </is>
      </c>
      <c r="D7" t="inlineStr">
        <is>
          <t>설비 협의</t>
        </is>
      </c>
      <c r="E7" s="395" t="n">
        <v>46235</v>
      </c>
      <c r="F7" s="395" t="n">
        <v>46239</v>
      </c>
      <c r="G7" t="n">
        <v>3500000</v>
      </c>
      <c r="H7" t="n">
        <v/>
      </c>
    </row>
    <row r="8">
      <c r="A8" s="395" t="n">
        <v>46241</v>
      </c>
      <c r="B8" t="inlineStr">
        <is>
          <t>FDC DX</t>
        </is>
      </c>
      <c r="C8" t="inlineStr">
        <is>
          <t>이영희</t>
        </is>
      </c>
      <c r="D8" t="inlineStr">
        <is>
          <t>현지 점검</t>
        </is>
      </c>
      <c r="E8" s="395" t="n">
        <v>46237</v>
      </c>
      <c r="F8" s="395" t="n">
        <v>46240</v>
      </c>
      <c r="G8" t="n">
        <v>4100000</v>
      </c>
      <c r="H8" t="n"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기준일</t>
        </is>
      </c>
      <c r="B1" s="0" t="inlineStr">
        <is>
          <t>팀</t>
        </is>
      </c>
      <c r="C1" s="0" t="inlineStr">
        <is>
          <t>출장자</t>
        </is>
      </c>
      <c r="D1" s="0" t="inlineStr">
        <is>
          <t>출장목적</t>
        </is>
      </c>
      <c r="E1" s="0" t="inlineStr">
        <is>
          <t>출발일</t>
        </is>
      </c>
      <c r="F1" s="0" t="inlineStr">
        <is>
          <t>귀국일</t>
        </is>
      </c>
      <c r="G1" s="0" t="inlineStr">
        <is>
          <t>금액(원)</t>
        </is>
      </c>
      <c r="H1" s="0" t="inlineStr">
        <is>
          <t>품의번호</t>
        </is>
      </c>
    </row>
    <row r="2">
      <c r="A2" s="395" t="n">
        <v>46227</v>
      </c>
      <c r="B2" s="0" t="inlineStr">
        <is>
          <t>자동보정팀</t>
        </is>
      </c>
      <c r="C2" s="0" t="inlineStr">
        <is>
          <t>홍길동</t>
        </is>
      </c>
      <c r="D2" s="0" t="inlineStr">
        <is>
          <t>설비 협의</t>
        </is>
      </c>
      <c r="E2" s="395" t="n">
        <v>46235</v>
      </c>
      <c r="F2" s="395" t="n">
        <v>46239</v>
      </c>
      <c r="G2" s="0" t="n">
        <v>3500000</v>
      </c>
      <c r="H2" s="0" t="inlineStr">
        <is>
          <t>2026-품의-0101</t>
        </is>
      </c>
    </row>
    <row r="3">
      <c r="A3" s="395" t="n">
        <v>46227</v>
      </c>
      <c r="B3" s="0" t="inlineStr">
        <is>
          <t>FDC팀</t>
        </is>
      </c>
      <c r="C3" s="0" t="inlineStr">
        <is>
          <t>이영희</t>
        </is>
      </c>
      <c r="D3" s="0" t="inlineStr">
        <is>
          <t>현지 점검</t>
        </is>
      </c>
      <c r="E3" s="395" t="n">
        <v>46237</v>
      </c>
      <c r="F3" s="395" t="n">
        <v>46240</v>
      </c>
      <c r="G3" s="0" t="n">
        <v>4100000</v>
      </c>
      <c r="H3" s="0" t="inlineStr">
        <is>
          <t>2026-품의-0102</t>
        </is>
      </c>
    </row>
    <row r="4">
      <c r="A4" s="395" t="n">
        <v>46241</v>
      </c>
      <c r="B4" t="inlineStr">
        <is>
          <t>자동보정</t>
        </is>
      </c>
      <c r="C4" t="inlineStr">
        <is>
          <t>홍길동</t>
        </is>
      </c>
      <c r="D4" t="inlineStr">
        <is>
          <t>설비 협의</t>
        </is>
      </c>
      <c r="E4" s="395" t="n">
        <v>46235</v>
      </c>
      <c r="F4" s="395" t="n">
        <v>46239</v>
      </c>
      <c r="G4" t="n">
        <v>3500000</v>
      </c>
      <c r="H4" t="inlineStr">
        <is>
          <t>2026-품의-0201</t>
        </is>
      </c>
    </row>
    <row r="5">
      <c r="A5" s="395" t="n">
        <v>46241</v>
      </c>
      <c r="B5" t="inlineStr">
        <is>
          <t>제조DX솔루션</t>
        </is>
      </c>
      <c r="C5" t="inlineStr">
        <is>
          <t>김철수</t>
        </is>
      </c>
      <c r="D5" t="inlineStr">
        <is>
          <t>생산 점검</t>
        </is>
      </c>
      <c r="E5" s="395" t="n">
        <v>46239</v>
      </c>
      <c r="F5" s="395" t="n">
        <v>46243</v>
      </c>
      <c r="G5" t="n">
        <v>2800000</v>
      </c>
      <c r="H5" t="inlineStr">
        <is>
          <t>2026-품의-0202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기준일</t>
        </is>
      </c>
      <c r="B1" s="0" t="inlineStr">
        <is>
          <t>팀</t>
        </is>
      </c>
      <c r="C1" s="0" t="inlineStr">
        <is>
          <t>출장자</t>
        </is>
      </c>
      <c r="D1" s="0" t="inlineStr">
        <is>
          <t>출장목적</t>
        </is>
      </c>
      <c r="E1" s="0" t="inlineStr">
        <is>
          <t>출발일</t>
        </is>
      </c>
      <c r="F1" s="0" t="inlineStr">
        <is>
          <t>귀국일</t>
        </is>
      </c>
      <c r="G1" s="0" t="inlineStr">
        <is>
          <t>금액(원)</t>
        </is>
      </c>
      <c r="H1" s="0" t="inlineStr">
        <is>
          <t>정산완료일</t>
        </is>
      </c>
    </row>
    <row r="2">
      <c r="A2" s="395" t="n">
        <v>46227</v>
      </c>
      <c r="B2" s="0" t="inlineStr">
        <is>
          <t>자동보정팀</t>
        </is>
      </c>
      <c r="C2" s="0" t="inlineStr">
        <is>
          <t>홍길동</t>
        </is>
      </c>
      <c r="D2" s="0" t="inlineStr">
        <is>
          <t>설비 협의</t>
        </is>
      </c>
      <c r="E2" s="395" t="n">
        <v>46235</v>
      </c>
      <c r="F2" s="395" t="n">
        <v>46239</v>
      </c>
      <c r="G2" s="0" t="n">
        <v>3480000</v>
      </c>
      <c r="H2" s="395" t="n">
        <v>46246</v>
      </c>
    </row>
    <row r="3">
      <c r="A3" s="395" t="n">
        <v>46241</v>
      </c>
      <c r="B3" t="inlineStr">
        <is>
          <t>자동보정</t>
        </is>
      </c>
      <c r="C3" t="inlineStr">
        <is>
          <t>홍길동</t>
        </is>
      </c>
      <c r="D3" t="inlineStr">
        <is>
          <t>설비 협의</t>
        </is>
      </c>
      <c r="E3" s="395" t="n">
        <v>46235</v>
      </c>
      <c r="F3" s="395" t="n">
        <v>46239</v>
      </c>
      <c r="G3" t="n">
        <v>3480000</v>
      </c>
      <c r="H3" s="395" t="n">
        <v>46246</v>
      </c>
    </row>
    <row r="4">
      <c r="A4" s="395" t="n">
        <v>46241</v>
      </c>
      <c r="B4" t="inlineStr">
        <is>
          <t>품질DX</t>
        </is>
      </c>
      <c r="C4" t="inlineStr">
        <is>
          <t>이영희</t>
        </is>
      </c>
      <c r="D4" t="inlineStr">
        <is>
          <t>현지 점검</t>
        </is>
      </c>
      <c r="E4" s="395" t="n">
        <v>46237</v>
      </c>
      <c r="F4" s="395" t="n">
        <v>46240</v>
      </c>
      <c r="G4" t="n">
        <v>4050000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4:C5"/>
  <sheetViews>
    <sheetView workbookViewId="0">
      <selection activeCell="A1" sqref="A1"/>
    </sheetView>
  </sheetViews>
  <sheetFormatPr baseColWidth="8" defaultRowHeight="15"/>
  <sheetData>
    <row r="4">
      <c r="B4" s="0" t="inlineStr">
        <is>
          <t>이번주 기준일</t>
        </is>
      </c>
      <c r="C4" s="395" t="n">
        <v>46241</v>
      </c>
    </row>
    <row r="5">
      <c r="B5" s="0" t="inlineStr">
        <is>
          <t>지난주 기준일</t>
        </is>
      </c>
      <c r="C5" s="396" t="n">
        <v>46234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최수정(choisu jeong)[csj11]</dc:creator>
  <dcterms:created xmlns:dcterms="http://purl.org/dc/terms/" xmlns:xsi="http://www.w3.org/2001/XMLSchema-instance" xsi:type="dcterms:W3CDTF">2025-03-17T05:46:42Z</dcterms:created>
  <dcterms:modified xmlns:dcterms="http://purl.org/dc/terms/" xmlns:xsi="http://www.w3.org/2001/XMLSchema-instance" xsi:type="dcterms:W3CDTF">2026-07-24T12:24:02Z</dcterms:modified>
  <cp:lastModifiedBy>최수정(SU JEONG CHOI)[csj11]/선임/제조DX.기획팀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0x0101008D3F89BF4FC41F4E81F6649B032F2FA6</vt:lpwstr>
  </property>
  <property name="MediaServiceImageTags" fmtid="{D5CDD505-2E9C-101B-9397-08002B2CF9AE}" pid="3">
    <vt:lpwstr xmlns:vt="http://schemas.openxmlformats.org/officeDocument/2006/docPropsVTypes"/>
  </property>
</Properties>
</file>